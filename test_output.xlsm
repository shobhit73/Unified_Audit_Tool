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sheets>
    <sheet xmlns:r="http://schemas.openxmlformats.org/officeDocument/2006/relationships" name="Instructions" sheetId="1" state="visible" r:id="rId1"/>
    <sheet xmlns:r="http://schemas.openxmlformats.org/officeDocument/2006/relationships" name="Employee Details" sheetId="2" state="visible" r:id="rId2"/>
    <sheet xmlns:r="http://schemas.openxmlformats.org/officeDocument/2006/relationships" name="Setting" sheetId="3" state="hidden" r:id="rId3"/>
    <sheet xmlns:r="http://schemas.openxmlformats.org/officeDocument/2006/relationships" name="Data specs" sheetId="4" state="hidden" r:id="rId4"/>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name="_xlnm._FilterDatabase" localSheetId="1" hidden="1">'Employee Details'!$A$4:$AQ$4</definedName>
  </definedNames>
  <calcPr calcId="124519" fullCalcOnLoad="1"/>
</workbook>
</file>

<file path=xl/styles.xml><?xml version="1.0" encoding="utf-8"?>
<styleSheet xmlns="http://schemas.openxmlformats.org/spreadsheetml/2006/main">
  <numFmts count="1">
    <numFmt numFmtId="164" formatCode="mm\/dd\/yyyy"/>
  </numFmts>
  <fonts count="21">
    <font>
      <name val="Calibri"/>
      <color rgb="FF000000"/>
      <sz val="11"/>
      <scheme val="minor"/>
    </font>
    <font>
      <name val="Arial"/>
      <b val="1"/>
      <color theme="1"/>
      <sz val="14"/>
    </font>
    <font/>
    <font>
      <name val="Arial"/>
      <b val="1"/>
      <color rgb="FF548DD4"/>
      <sz val="12"/>
    </font>
    <font>
      <name val="Arial"/>
      <b val="1"/>
      <color rgb="FF548DD4"/>
      <sz val="12"/>
      <u val="single"/>
    </font>
    <font>
      <name val="Calibri"/>
      <color rgb="FF000000"/>
      <sz val="11"/>
    </font>
    <font>
      <name val="Calibri"/>
      <b val="1"/>
      <color theme="1"/>
      <sz val="10"/>
    </font>
    <font>
      <name val="Arial"/>
      <b val="1"/>
      <color rgb="FFFF0000"/>
      <sz val="11"/>
    </font>
    <font>
      <name val="Calibri"/>
      <b val="1"/>
      <color rgb="FF000000"/>
      <sz val="10"/>
    </font>
    <font>
      <name val="Calibri"/>
      <color theme="1"/>
      <sz val="11"/>
    </font>
    <font>
      <name val="Calibri"/>
      <b val="1"/>
      <color theme="1"/>
      <sz val="11"/>
    </font>
    <font>
      <name val="Calibri"/>
      <b val="1"/>
      <color rgb="FF000000"/>
      <sz val="11"/>
    </font>
    <font>
      <name val="Calibri"/>
      <b val="1"/>
      <color theme="1"/>
      <sz val="16"/>
    </font>
    <font>
      <name val="Calibri"/>
      <color theme="1"/>
      <scheme val="minor"/>
    </font>
    <font>
      <name val="Calibri"/>
      <color rgb="FF000000"/>
      <sz val="9"/>
    </font>
    <font>
      <name val="Calibri"/>
      <b val="1"/>
      <color rgb="FF000000"/>
      <sz val="9"/>
    </font>
    <font>
      <name val="Calibri"/>
      <color theme="1"/>
      <sz val="9"/>
    </font>
    <font>
      <name val="Calibri"/>
      <b val="1"/>
      <i val="1"/>
      <color rgb="FF000000"/>
      <sz val="11"/>
    </font>
    <font>
      <name val="Calibri"/>
      <color rgb="FFFF0000"/>
      <sz val="11"/>
    </font>
    <font>
      <name val="Calibri"/>
      <color rgb="FFCC3333"/>
      <sz val="11"/>
    </font>
    <font>
      <name val="Calibri"/>
      <color rgb="FF2A00FF"/>
      <sz val="11"/>
    </font>
  </fonts>
  <fills count="9">
    <fill>
      <patternFill/>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
      <left style="medium">
        <color rgb="FF000000"/>
      </left>
      <right style="medium">
        <color rgb="FF000000"/>
      </right>
      <top style="medium">
        <color rgb="FF000000"/>
      </top>
      <bottom/>
    </border>
  </borders>
  <cellStyleXfs count="1">
    <xf numFmtId="0" fontId="0" fillId="0" borderId="0"/>
  </cellStyleXfs>
  <cellXfs count="102">
    <xf numFmtId="0" fontId="0" fillId="0" borderId="0" applyAlignment="1" pivotButton="0" quotePrefix="0" xfId="0">
      <alignment vertical="bottom"/>
    </xf>
    <xf numFmtId="0" fontId="1" fillId="2" borderId="1" applyAlignment="1" pivotButton="0" quotePrefix="0" xfId="0">
      <alignment horizontal="center" vertical="center"/>
    </xf>
    <xf numFmtId="0" fontId="2" fillId="0" borderId="2" pivotButton="0" quotePrefix="0" xfId="0"/>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3" fillId="2" borderId="9" applyAlignment="1" pivotButton="0" quotePrefix="0" xfId="0">
      <alignment horizontal="center" vertical="center"/>
    </xf>
    <xf numFmtId="0" fontId="2" fillId="0" borderId="10" pivotButton="0" quotePrefix="0" xfId="0"/>
    <xf numFmtId="0" fontId="2" fillId="0" borderId="11" pivotButton="0" quotePrefix="0" xfId="0"/>
    <xf numFmtId="0" fontId="4" fillId="2" borderId="12" applyAlignment="1" pivotButton="0" quotePrefix="0" xfId="0">
      <alignment horizontal="center" vertical="top" wrapText="1"/>
    </xf>
    <xf numFmtId="0" fontId="2" fillId="0" borderId="13" pivotButton="0" quotePrefix="0" xfId="0"/>
    <xf numFmtId="0" fontId="5" fillId="2" borderId="1" applyAlignment="1" pivotButton="0" quotePrefix="0" xfId="0">
      <alignment horizontal="left" vertical="top" wrapText="1"/>
    </xf>
    <xf numFmtId="0" fontId="6" fillId="3" borderId="14" applyAlignment="1" pivotButton="0" quotePrefix="0" xfId="0">
      <alignment horizontal="center" vertical="center" wrapText="1"/>
    </xf>
    <xf numFmtId="1" fontId="5" fillId="0" borderId="15" applyAlignment="1" pivotButton="0" quotePrefix="0" xfId="0">
      <alignment horizontal="center" vertical="center"/>
    </xf>
    <xf numFmtId="0" fontId="6" fillId="4" borderId="16" applyAlignment="1" pivotButton="0" quotePrefix="0" xfId="0">
      <alignment horizontal="center" vertical="center" wrapText="1"/>
    </xf>
    <xf numFmtId="1" fontId="5" fillId="0" borderId="16" applyAlignment="1" pivotButton="0" quotePrefix="0" xfId="0">
      <alignment horizontal="center" vertical="center"/>
    </xf>
    <xf numFmtId="1" fontId="6" fillId="5" borderId="17" applyAlignment="1" pivotButton="0" quotePrefix="0" xfId="0">
      <alignment horizontal="center" vertical="center" wrapText="1"/>
    </xf>
    <xf numFmtId="1" fontId="5" fillId="0" borderId="18" applyAlignment="1" pivotButton="0" quotePrefix="0" xfId="0">
      <alignment horizontal="center" vertical="center"/>
    </xf>
    <xf numFmtId="49" fontId="7" fillId="0" borderId="0" pivotButton="0" quotePrefix="0" xfId="0"/>
    <xf numFmtId="49" fontId="5" fillId="0" borderId="0" pivotButton="0" quotePrefix="0" xfId="0"/>
    <xf numFmtId="0" fontId="5" fillId="0" borderId="0" pivotButton="0" quotePrefix="0" xfId="0"/>
    <xf numFmtId="164" fontId="5" fillId="0" borderId="0" pivotButton="0" quotePrefix="0" xfId="0"/>
    <xf numFmtId="2" fontId="5" fillId="0" borderId="0" pivotButton="0" quotePrefix="0" xfId="0"/>
    <xf numFmtId="2" fontId="5" fillId="0" borderId="0" applyAlignment="1" pivotButton="0" quotePrefix="0" xfId="0">
      <alignment horizontal="left" vertical="center"/>
    </xf>
    <xf numFmtId="49" fontId="8" fillId="0" borderId="0" applyAlignment="1" pivotButton="0" quotePrefix="0" xfId="0">
      <alignment vertical="center" shrinkToFit="1"/>
    </xf>
    <xf numFmtId="49" fontId="8" fillId="5" borderId="19" applyAlignment="1" pivotButton="0" quotePrefix="0" xfId="0">
      <alignment horizontal="center" vertical="center" wrapText="1"/>
    </xf>
    <xf numFmtId="49" fontId="6" fillId="3" borderId="19" applyAlignment="1" pivotButton="0" quotePrefix="0" xfId="0">
      <alignment horizontal="center" vertical="center" wrapText="1"/>
    </xf>
    <xf numFmtId="164" fontId="6" fillId="3" borderId="19" applyAlignment="1" pivotButton="0" quotePrefix="0" xfId="0">
      <alignment horizontal="center" vertical="center" wrapText="1"/>
    </xf>
    <xf numFmtId="49" fontId="6" fillId="5" borderId="19" applyAlignment="1" pivotButton="0" quotePrefix="0" xfId="0">
      <alignment horizontal="center" vertical="center" wrapText="1"/>
    </xf>
    <xf numFmtId="164" fontId="8" fillId="5" borderId="19" applyAlignment="1" pivotButton="0" quotePrefix="0" xfId="0">
      <alignment horizontal="center" vertical="center" wrapText="1"/>
    </xf>
    <xf numFmtId="2" fontId="8" fillId="5" borderId="19" applyAlignment="1" pivotButton="0" quotePrefix="0" xfId="0">
      <alignment horizontal="center" vertical="center" wrapText="1"/>
    </xf>
    <xf numFmtId="2" fontId="6" fillId="3" borderId="20" applyAlignment="1" pivotButton="0" quotePrefix="0" xfId="0">
      <alignment horizontal="center" vertical="center" wrapText="1"/>
    </xf>
    <xf numFmtId="2" fontId="6" fillId="4" borderId="19" applyAlignment="1" pivotButton="0" quotePrefix="0" xfId="0">
      <alignment horizontal="center" vertical="center" wrapText="1"/>
    </xf>
    <xf numFmtId="0" fontId="6" fillId="5" borderId="20" applyAlignment="1" pivotButton="0" quotePrefix="0" xfId="0">
      <alignment horizontal="center" vertical="center" wrapText="1"/>
    </xf>
    <xf numFmtId="0" fontId="6" fillId="4" borderId="19" applyAlignment="1" pivotButton="0" quotePrefix="0" xfId="0">
      <alignment horizontal="center" vertical="center" wrapText="1"/>
    </xf>
    <xf numFmtId="0" fontId="6" fillId="5" borderId="19" applyAlignment="1" pivotButton="0" quotePrefix="0" xfId="0">
      <alignment horizontal="center" vertical="center" wrapText="1"/>
    </xf>
    <xf numFmtId="1" fontId="6" fillId="5" borderId="19" applyAlignment="1" pivotButton="0" quotePrefix="0" xfId="0">
      <alignment horizontal="center" vertical="center" wrapText="1"/>
    </xf>
    <xf numFmtId="0" fontId="8" fillId="5" borderId="19" applyAlignment="1" pivotButton="0" quotePrefix="0" xfId="0">
      <alignment horizontal="center" vertical="center" wrapText="1"/>
    </xf>
    <xf numFmtId="49" fontId="5" fillId="0" borderId="0" applyAlignment="1" pivotButton="0" quotePrefix="0" xfId="0">
      <alignment horizontal="left" vertical="center"/>
    </xf>
    <xf numFmtId="0" fontId="5" fillId="0" borderId="0" applyAlignment="1" pivotButton="0" quotePrefix="0" xfId="0">
      <alignment horizontal="left" vertical="center"/>
    </xf>
    <xf numFmtId="164" fontId="5" fillId="0" borderId="0" applyAlignment="1" pivotButton="0" quotePrefix="0" xfId="0">
      <alignment horizontal="left" vertical="center"/>
    </xf>
    <xf numFmtId="0" fontId="9" fillId="0" borderId="0" applyAlignment="1" pivotButton="0" quotePrefix="0" xfId="0">
      <alignment horizontal="left" vertical="center"/>
    </xf>
    <xf numFmtId="0" fontId="5" fillId="0" borderId="0" applyAlignment="1" pivotButton="0" quotePrefix="0" xfId="0">
      <alignment horizontal="left"/>
    </xf>
    <xf numFmtId="0" fontId="5" fillId="6" borderId="21" pivotButton="0" quotePrefix="0" xfId="0"/>
    <xf numFmtId="0" fontId="10" fillId="0" borderId="0" pivotButton="0" quotePrefix="0" xfId="0"/>
    <xf numFmtId="0" fontId="11" fillId="0" borderId="0" pivotButton="0" quotePrefix="0" xfId="0"/>
    <xf numFmtId="0" fontId="10" fillId="5" borderId="19" pivotButton="0" quotePrefix="0" xfId="0"/>
    <xf numFmtId="0" fontId="12" fillId="5" borderId="12" applyAlignment="1" pivotButton="0" quotePrefix="0" xfId="0">
      <alignment horizontal="center" vertical="center"/>
    </xf>
    <xf numFmtId="0" fontId="2" fillId="0" borderId="22" pivotButton="0" quotePrefix="0" xfId="0"/>
    <xf numFmtId="0" fontId="9" fillId="6" borderId="21" pivotButton="0" quotePrefix="0" xfId="0"/>
    <xf numFmtId="0" fontId="13" fillId="0" borderId="0" pivotButton="0" quotePrefix="0" xfId="0"/>
    <xf numFmtId="0" fontId="12" fillId="5" borderId="9" applyAlignment="1" pivotButton="0" quotePrefix="0" xfId="0">
      <alignment horizontal="center" vertical="center"/>
    </xf>
    <xf numFmtId="49" fontId="6" fillId="0" borderId="0" applyAlignment="1" pivotButton="0" quotePrefix="0" xfId="0">
      <alignment horizontal="center" vertical="center" wrapText="1"/>
    </xf>
    <xf numFmtId="0" fontId="11" fillId="5" borderId="16" pivotButton="0" quotePrefix="0" xfId="0"/>
    <xf numFmtId="0" fontId="11" fillId="6" borderId="21" pivotButton="0" quotePrefix="0" xfId="0"/>
    <xf numFmtId="0" fontId="11" fillId="0" borderId="19" pivotButton="0" quotePrefix="0" xfId="0"/>
    <xf numFmtId="0" fontId="14" fillId="0" borderId="0" applyAlignment="1" pivotButton="0" quotePrefix="0" xfId="0">
      <alignment horizontal="left" wrapText="1"/>
    </xf>
    <xf numFmtId="0" fontId="15" fillId="7" borderId="16" pivotButton="0" quotePrefix="0" xfId="0"/>
    <xf numFmtId="0" fontId="16" fillId="0" borderId="19" pivotButton="0" quotePrefix="0" xfId="0"/>
    <xf numFmtId="0" fontId="8" fillId="5" borderId="17" applyAlignment="1" pivotButton="0" quotePrefix="0" xfId="0">
      <alignment horizontal="center" vertical="center"/>
    </xf>
    <xf numFmtId="0" fontId="8" fillId="5" borderId="23" applyAlignment="1" pivotButton="0" quotePrefix="0" xfId="0">
      <alignment horizontal="center" vertical="center"/>
    </xf>
    <xf numFmtId="0" fontId="8" fillId="5" borderId="23" applyAlignment="1" pivotButton="0" quotePrefix="0" xfId="0">
      <alignment horizontal="center" vertical="center" wrapText="1"/>
    </xf>
    <xf numFmtId="0" fontId="8" fillId="5" borderId="24" applyAlignment="1" pivotButton="0" quotePrefix="0" xfId="0">
      <alignment horizontal="center" vertical="center"/>
    </xf>
    <xf numFmtId="0" fontId="11" fillId="7" borderId="19" pivotButton="0" quotePrefix="0" xfId="0"/>
    <xf numFmtId="0" fontId="15" fillId="0" borderId="0" pivotButton="0" quotePrefix="0" xfId="0"/>
    <xf numFmtId="0" fontId="5" fillId="7" borderId="21" pivotButton="0" quotePrefix="0" xfId="0"/>
    <xf numFmtId="0" fontId="14" fillId="0" borderId="0" pivotButton="0" quotePrefix="0" xfId="0"/>
    <xf numFmtId="0" fontId="9" fillId="0" borderId="0" pivotButton="0" quotePrefix="0" xfId="0"/>
    <xf numFmtId="0" fontId="17" fillId="8" borderId="19" applyAlignment="1" pivotButton="0" quotePrefix="0" xfId="0">
      <alignment horizontal="center" vertical="top" wrapText="1"/>
    </xf>
    <xf numFmtId="0" fontId="11" fillId="0" borderId="19" applyAlignment="1" pivotButton="0" quotePrefix="0" xfId="0">
      <alignment wrapText="1"/>
    </xf>
    <xf numFmtId="0" fontId="5" fillId="0" borderId="19" applyAlignment="1" pivotButton="0" quotePrefix="0" xfId="0">
      <alignment horizontal="center" wrapText="1"/>
    </xf>
    <xf numFmtId="0" fontId="5" fillId="0" borderId="19" applyAlignment="1" pivotButton="0" quotePrefix="0" xfId="0">
      <alignment wrapText="1"/>
    </xf>
    <xf numFmtId="49" fontId="18" fillId="0" borderId="19" pivotButton="0" quotePrefix="0" xfId="0"/>
    <xf numFmtId="0" fontId="19" fillId="0" borderId="19" applyAlignment="1" pivotButton="0" quotePrefix="0" xfId="0">
      <alignment wrapText="1"/>
    </xf>
    <xf numFmtId="49" fontId="5" fillId="0" borderId="19" pivotButton="0" quotePrefix="0" xfId="0"/>
    <xf numFmtId="0" fontId="5" fillId="0" borderId="19" pivotButton="0" quotePrefix="0" xfId="0"/>
    <xf numFmtId="0" fontId="5" fillId="0" borderId="19" applyAlignment="1" pivotButton="0" quotePrefix="0" xfId="0">
      <alignment horizontal="left" wrapText="1"/>
    </xf>
    <xf numFmtId="0" fontId="18" fillId="0" borderId="19" pivotButton="0" quotePrefix="0" xfId="0"/>
    <xf numFmtId="0" fontId="11" fillId="0" borderId="19" applyAlignment="1" pivotButton="0" quotePrefix="0" xfId="0">
      <alignment horizontal="center" wrapText="1"/>
    </xf>
    <xf numFmtId="0" fontId="19" fillId="0" borderId="19" applyAlignment="1" pivotButton="0" quotePrefix="0" xfId="0">
      <alignment horizontal="left" wrapText="1"/>
    </xf>
    <xf numFmtId="1" fontId="9" fillId="0" borderId="19" applyAlignment="1" pivotButton="0" quotePrefix="0" xfId="0">
      <alignment wrapText="1"/>
    </xf>
    <xf numFmtId="0" fontId="20" fillId="0" borderId="19" pivotButton="0" quotePrefix="0" xfId="0"/>
    <xf numFmtId="49" fontId="5" fillId="0" borderId="0" applyAlignment="1" pivotButton="0" quotePrefix="0" xfId="0">
      <alignment horizontal="left" wrapText="1"/>
    </xf>
    <xf numFmtId="0" fontId="0" fillId="0" borderId="0" pivotButton="0" quotePrefix="0" xfId="0"/>
    <xf numFmtId="0" fontId="1" fillId="2"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2" borderId="16" applyAlignment="1" pivotButton="0" quotePrefix="0" xfId="0">
      <alignment horizontal="center" vertical="center"/>
    </xf>
    <xf numFmtId="0" fontId="0" fillId="0" borderId="10" pivotButton="0" quotePrefix="0" xfId="0"/>
    <xf numFmtId="0" fontId="0" fillId="0" borderId="11" pivotButton="0" quotePrefix="0" xfId="0"/>
    <xf numFmtId="0" fontId="4" fillId="2" borderId="25" applyAlignment="1" pivotButton="0" quotePrefix="0" xfId="0">
      <alignment horizontal="center" vertical="top" wrapText="1"/>
    </xf>
    <xf numFmtId="0" fontId="5" fillId="2" borderId="16" applyAlignment="1" pivotButton="0" quotePrefix="0" xfId="0">
      <alignment horizontal="left" vertical="top" wrapText="1"/>
    </xf>
    <xf numFmtId="0" fontId="12" fillId="5" borderId="25" applyAlignment="1" pivotButton="0" quotePrefix="0" xfId="0">
      <alignment horizontal="center" vertical="center"/>
    </xf>
    <xf numFmtId="0" fontId="12" fillId="5" borderId="16" applyAlignment="1" pivotButton="0" quotePrefix="0" xfId="0">
      <alignment horizontal="center" vertical="center"/>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None</author>
  </authors>
  <commentList>
    <comment ref="A1" authorId="0" shapeId="0">
      <text>
        <t>======
ID#AAABz-vzq8I
Anurag Tomar    (2026-02-07 17:11:40)
This is the template version.</t>
      </text>
    </comment>
    <comment ref="AX4" authorId="0" shapeId="0">
      <text>
        <t>======
ID#AAABz-vzq7s
Acceptable Values    (2026-02-07 17:11:40)
1. Armed Forces Service Medal Veteran
2. Disabled Veteran
3. Active Duty Wartime or Campaign Badge Veteran
4. Recently Separated Veteran
5. Decline To Answer
6. Not a Protected Veteran</t>
      </text>
    </comment>
    <comment ref="AY4" authorId="0" shapeId="0">
      <text>
        <t>======
ID#AAABz-vzq78
Acceptable Values    (2026-02-07 17:11:40)
1. Yes
2. No
3. Decline To Answer</t>
      </text>
    </comment>
    <comment ref="AZ4" authorId="0" shapeId="0">
      <text>
        <t>======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ref="BA4" authorId="0" shapeId="0">
      <text>
        <t>======
ID#AAABz-vzq7k
Acceptable Values    (2026-02-07 17:11:40)
1. Hispanic or Latino
2. White
3. Black or African American
4. Native Hawaiian or Other Pacific Islander
5. American Indian or Alaska Native
6. Asian
7. Two or more races</t>
      </text>
    </comment>
    <comment ref="BE4" authorId="0" shapeId="0">
      <text>
        <t>======
ID#AAABz-vzq8E
Anurag Tomar    (2026-02-07 17:11:40)
Acceptable Values: Single Line text up to 256 chars</t>
      </text>
    </comment>
    <comment ref="BF4" authorId="0" shapeId="0">
      <text>
        <t>======
ID#AAABz-vzq74
Anurag Tomar    (2026-02-07 17:11:40)
Acceptable Values: Single Line text up to 256 chars</t>
      </text>
    </comment>
    <comment ref="BG4" authorId="0" shapeId="0">
      <text>
        <t>======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ref="BH4" authorId="0" shapeId="0">
      <text>
        <t>======
ID#AAABz-vzq7o
Anurag Tomar    (2026-02-07 17:11:40)
Acceptable values: Date with format MM/DD/YYYY</t>
      </text>
    </comment>
    <comment ref="BI4" authorId="0" shapeId="0">
      <text>
        <t>======
ID#AAABz-vzq70
Acceptable Values    (2026-02-07 17:11:40)
1. Van Go
2. Smooth Operators
3. Path Finders
4. Prime Runners</t>
      </text>
    </comment>
    <comment ref="BJ4" authorId="0" shapeId="0">
      <text>
        <t>======
ID#AAABz-vzq7c
Acceptable Values    (2026-02-07 17:11:40)
1. Womens XS
2. Womens S
3. Womens M
4. Womens L
5. Womens XL
6. Womens 2XL
7. Mens XS
8. Mens S
9. Mens M
10. Mens L
11. Mens XL
12. Mens 2XL
13. Mens 3XL
14. Mens 4XL
15. Mens 5XL</t>
      </text>
    </comment>
    <comment ref="BK4" authorId="0" shapeId="0">
      <text>
        <t>======
ID#AAABz-vzq7w
Acceptable Values    (2026-02-07 17:11:40)
1. Mens S
2. Mens M
3. Mens L
4. Mens XL
5. Mens 2XL
6. Mens 3XL
7. Womens XS
8. Womens S
9. Womens M
10. Womens L
11. Womens XL
12. Womens 2XL</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5">
    <outlinePr summaryBelow="1" summaryRight="1"/>
    <pageSetUpPr/>
  </sheetPr>
  <dimension ref="A1:I26"/>
  <sheetViews>
    <sheetView workbookViewId="0">
      <selection activeCell="A1" sqref="A1"/>
    </sheetView>
  </sheetViews>
  <sheetFormatPr baseColWidth="8" defaultColWidth="14.43" defaultRowHeight="15" customHeight="1"/>
  <cols>
    <col width="14.71" customWidth="1" style="86" min="1" max="1"/>
    <col width="15" customWidth="1" style="86" min="2" max="2"/>
    <col width="14.14" customWidth="1" style="86" min="3" max="3"/>
    <col width="14.43" customWidth="1" style="86" min="4" max="5"/>
    <col width="17.43" customWidth="1" style="86" min="6" max="6"/>
    <col width="8.859999999999999" customWidth="1" style="86" min="7" max="8"/>
    <col width="17.14" customWidth="1" style="86" min="9" max="9"/>
    <col width="8.859999999999999" customWidth="1" style="86" min="10" max="26"/>
  </cols>
  <sheetData>
    <row r="1" ht="14.25" customHeight="1" s="86">
      <c r="A1" s="87" t="inlineStr">
        <is>
          <t>How to use this template.</t>
        </is>
      </c>
      <c r="B1" s="88" t="n"/>
      <c r="C1" s="88" t="n"/>
      <c r="D1" s="88" t="n"/>
      <c r="E1" s="88" t="n"/>
      <c r="F1" s="89" t="n"/>
    </row>
    <row r="2" ht="14.25" customHeight="1" s="86">
      <c r="A2" s="90" t="n"/>
      <c r="F2" s="91" t="n"/>
    </row>
    <row r="3" ht="14.25" customHeight="1" s="86">
      <c r="A3" s="92" t="n"/>
      <c r="B3" s="93" t="n"/>
      <c r="C3" s="93" t="n"/>
      <c r="D3" s="93" t="n"/>
      <c r="E3" s="93" t="n"/>
      <c r="F3" s="94" t="n"/>
    </row>
    <row r="4" ht="16.5" customHeight="1" s="86">
      <c r="A4" s="95" t="inlineStr">
        <is>
          <t>Instructions</t>
        </is>
      </c>
      <c r="B4" s="96" t="n"/>
      <c r="C4" s="96" t="n"/>
      <c r="D4" s="96" t="n"/>
      <c r="E4" s="96" t="n"/>
      <c r="F4" s="97" t="n"/>
      <c r="H4" s="98" t="inlineStr">
        <is>
          <t xml:space="preserve">Legend
</t>
        </is>
      </c>
      <c r="I4" s="89" t="n"/>
    </row>
    <row r="5" ht="15" customHeight="1" s="86">
      <c r="A5" s="99" t="inlineStr">
        <is>
          <t>1. Each row will represent one employee in the organization.
2. Mandatory fields are marked by a red asterisk '*', however there may be some non-marked fields that are still mandatory on your exchange.                                                                                                                        3. Conditional fields are marked by a double red asterisk '**'.
4. Please do not change the contents of cell A1.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Add/Remove Custom Column button to add/remove custom field column(s) that are used in the organization but are not present in the template.
9. Use the Add/Remove Dependent Column button to add/remove column(s) for employee's dependent specific data.
10. The Validate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NOTE: While copying data from a different source and pasting on this template, please ensure to copy &amp; paste all employees details first, then custom fields and dependent data separately (if required). Pasting data for the entire employee row at once might lead to erroneous conditions.
14. IMPORTANT: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is>
      </c>
      <c r="B5" s="88" t="n"/>
      <c r="C5" s="88" t="n"/>
      <c r="D5" s="88" t="n"/>
      <c r="E5" s="88" t="n"/>
      <c r="F5" s="89" t="n"/>
      <c r="H5" s="15" t="n"/>
      <c r="I5" s="16" t="inlineStr">
        <is>
          <t>Mandatory (*)</t>
        </is>
      </c>
    </row>
    <row r="6" ht="14.25" customHeight="1" s="86">
      <c r="A6" s="90" t="n"/>
      <c r="F6" s="91" t="n"/>
      <c r="H6" s="17" t="n"/>
      <c r="I6" s="18" t="inlineStr">
        <is>
          <t>Conditional(**)</t>
        </is>
      </c>
    </row>
    <row r="7" ht="14.25" customHeight="1" s="86">
      <c r="A7" s="90" t="n"/>
      <c r="F7" s="91" t="n"/>
      <c r="H7" s="19" t="n"/>
      <c r="I7" s="20" t="inlineStr">
        <is>
          <t>Optional</t>
        </is>
      </c>
    </row>
    <row r="8" ht="14.25" customHeight="1" s="86">
      <c r="A8" s="90" t="n"/>
      <c r="F8" s="91" t="n"/>
    </row>
    <row r="9" ht="14.25" customHeight="1" s="86">
      <c r="A9" s="90" t="n"/>
      <c r="F9" s="91" t="n"/>
    </row>
    <row r="10" ht="14.25" customHeight="1" s="86">
      <c r="A10" s="90" t="n"/>
      <c r="F10" s="91" t="n"/>
    </row>
    <row r="11" ht="14.25" customHeight="1" s="86">
      <c r="A11" s="90" t="n"/>
      <c r="F11" s="91" t="n"/>
    </row>
    <row r="12" ht="14.25" customHeight="1" s="86">
      <c r="A12" s="90" t="n"/>
      <c r="F12" s="91" t="n"/>
    </row>
    <row r="13" ht="14.25" customHeight="1" s="86">
      <c r="A13" s="90" t="n"/>
      <c r="F13" s="91" t="n"/>
    </row>
    <row r="14" ht="14.25" customHeight="1" s="86">
      <c r="A14" s="90" t="n"/>
      <c r="F14" s="91" t="n"/>
    </row>
    <row r="15" ht="14.25" customHeight="1" s="86">
      <c r="A15" s="90" t="n"/>
      <c r="F15" s="91" t="n"/>
    </row>
    <row r="16" ht="14.25" customHeight="1" s="86">
      <c r="A16" s="90" t="n"/>
      <c r="F16" s="91" t="n"/>
    </row>
    <row r="17" ht="14.25" customHeight="1" s="86">
      <c r="A17" s="90" t="n"/>
      <c r="F17" s="91" t="n"/>
    </row>
    <row r="18" ht="14.25" customHeight="1" s="86">
      <c r="A18" s="90" t="n"/>
      <c r="F18" s="91" t="n"/>
    </row>
    <row r="19" ht="14.25" customHeight="1" s="86">
      <c r="A19" s="90" t="n"/>
      <c r="F19" s="91" t="n"/>
    </row>
    <row r="20" ht="14.25" customHeight="1" s="86">
      <c r="A20" s="90" t="n"/>
      <c r="F20" s="91" t="n"/>
    </row>
    <row r="21" ht="14.25" customHeight="1" s="86">
      <c r="A21" s="90" t="n"/>
      <c r="F21" s="91" t="n"/>
    </row>
    <row r="22" ht="14.25" customHeight="1" s="86">
      <c r="A22" s="90" t="n"/>
      <c r="F22" s="91" t="n"/>
    </row>
    <row r="23" ht="14.25" customHeight="1" s="86">
      <c r="A23" s="90" t="n"/>
      <c r="F23" s="91" t="n"/>
    </row>
    <row r="24" ht="14.25" customHeight="1" s="86">
      <c r="A24" s="90" t="n"/>
      <c r="F24" s="91" t="n"/>
    </row>
    <row r="25" ht="14.25" customHeight="1" s="86">
      <c r="A25" s="90" t="n"/>
      <c r="F25" s="91" t="n"/>
    </row>
    <row r="26" ht="93.75" customHeight="1" s="86">
      <c r="A26" s="92" t="n"/>
      <c r="B26" s="93" t="n"/>
      <c r="C26" s="93" t="n"/>
      <c r="D26" s="93" t="n"/>
      <c r="E26" s="93" t="n"/>
      <c r="F26" s="94" t="n"/>
    </row>
    <row r="27" ht="15" customHeight="1" s="86"/>
    <row r="28" ht="14.25" customHeight="1" s="86"/>
    <row r="29" ht="14.25" customHeight="1" s="86"/>
    <row r="30" ht="14.25" customHeight="1" s="86"/>
    <row r="31" ht="14.25" customHeight="1" s="86"/>
    <row r="32" ht="14.25" customHeight="1" s="86"/>
    <row r="33" ht="14.25" customHeight="1" s="86"/>
    <row r="34" ht="14.25" customHeight="1" s="86"/>
    <row r="35" ht="14.25" customHeight="1" s="86"/>
    <row r="36" ht="14.25" customHeight="1" s="86"/>
    <row r="37" ht="14.25" customHeight="1" s="86"/>
    <row r="38" ht="14.25" customHeight="1" s="86"/>
    <row r="39" ht="14.25" customHeight="1" s="86"/>
    <row r="40" ht="14.25" customHeight="1" s="86"/>
    <row r="41" ht="14.25" customHeight="1" s="86"/>
    <row r="42" ht="14.25" customHeight="1" s="86"/>
    <row r="43" ht="14.25" customHeight="1" s="86"/>
    <row r="44" ht="14.25" customHeight="1" s="86"/>
    <row r="45" ht="14.25" customHeight="1" s="86"/>
    <row r="46" ht="14.25" customHeight="1" s="86"/>
    <row r="47" ht="14.25" customHeight="1" s="86"/>
    <row r="48" ht="14.25" customHeight="1" s="86"/>
    <row r="49" ht="14.25" customHeight="1" s="86"/>
    <row r="50" ht="14.25" customHeight="1" s="86"/>
    <row r="51" ht="14.25" customHeight="1" s="86"/>
    <row r="52" ht="14.25" customHeight="1" s="86"/>
    <row r="53" ht="14.25" customHeight="1" s="86"/>
    <row r="54" ht="14.25" customHeight="1" s="86"/>
    <row r="55" ht="14.25" customHeight="1" s="86"/>
    <row r="56" ht="14.25" customHeight="1" s="86"/>
    <row r="57" ht="14.25" customHeight="1" s="86"/>
    <row r="58" ht="14.25" customHeight="1" s="86"/>
    <row r="59" ht="14.25" customHeight="1" s="86"/>
    <row r="60" ht="14.25" customHeight="1" s="86"/>
    <row r="61" ht="14.25" customHeight="1" s="86"/>
    <row r="62" ht="14.25" customHeight="1" s="86"/>
    <row r="63" ht="14.25" customHeight="1" s="86"/>
    <row r="64" ht="14.25" customHeight="1" s="86"/>
    <row r="65" ht="14.25" customHeight="1" s="86"/>
    <row r="66" ht="14.25" customHeight="1" s="86"/>
    <row r="67" ht="14.25" customHeight="1" s="86"/>
    <row r="68" ht="14.25" customHeight="1" s="86"/>
    <row r="69" ht="14.25" customHeight="1" s="86"/>
    <row r="70" ht="14.25" customHeight="1" s="86"/>
    <row r="71" ht="14.25" customHeight="1" s="86"/>
    <row r="72" ht="14.25" customHeight="1" s="86"/>
    <row r="73" ht="14.25" customHeight="1" s="86"/>
    <row r="74" ht="14.25" customHeight="1" s="86"/>
    <row r="75" ht="14.25" customHeight="1" s="86"/>
    <row r="76" ht="14.25" customHeight="1" s="86"/>
    <row r="77" ht="14.25" customHeight="1" s="86"/>
    <row r="78" ht="14.25" customHeight="1" s="86"/>
    <row r="79" ht="14.25" customHeight="1" s="86"/>
    <row r="80" ht="14.25" customHeight="1" s="86"/>
    <row r="81" ht="14.25" customHeight="1" s="86"/>
    <row r="82" ht="14.25" customHeight="1" s="86"/>
    <row r="83" ht="14.25" customHeight="1" s="86"/>
    <row r="84" ht="14.25" customHeight="1" s="86"/>
    <row r="85" ht="14.25" customHeight="1" s="86"/>
    <row r="86" ht="14.25" customHeight="1" s="86"/>
    <row r="87" ht="14.25" customHeight="1" s="86"/>
    <row r="88" ht="14.25" customHeight="1" s="86"/>
    <row r="89" ht="14.25" customHeight="1" s="86"/>
    <row r="90" ht="14.25" customHeight="1" s="86"/>
    <row r="91" ht="14.25" customHeight="1" s="86"/>
    <row r="92" ht="14.25" customHeight="1" s="86"/>
    <row r="93" ht="14.25" customHeight="1" s="86"/>
    <row r="94" ht="14.25" customHeight="1" s="86"/>
    <row r="95" ht="14.25" customHeight="1" s="86"/>
    <row r="96" ht="14.25" customHeight="1" s="86"/>
    <row r="97" ht="14.25" customHeight="1" s="86"/>
    <row r="98" ht="14.25" customHeight="1" s="86"/>
    <row r="99" ht="14.25" customHeight="1" s="86"/>
    <row r="100" ht="14.25" customHeight="1" s="86"/>
    <row r="101" ht="14.25" customHeight="1" s="86"/>
    <row r="102" ht="14.25" customHeight="1" s="86"/>
    <row r="103" ht="14.25" customHeight="1" s="86"/>
    <row r="104" ht="14.25" customHeight="1" s="86"/>
    <row r="105" ht="14.25" customHeight="1" s="86"/>
    <row r="106" ht="14.25" customHeight="1" s="86"/>
    <row r="107" ht="14.25" customHeight="1" s="86"/>
    <row r="108" ht="14.25" customHeight="1" s="86"/>
    <row r="109" ht="14.25" customHeight="1" s="86"/>
    <row r="110" ht="14.25" customHeight="1" s="86"/>
    <row r="111" ht="14.25" customHeight="1" s="86"/>
    <row r="112" ht="14.25" customHeight="1" s="86"/>
    <row r="113" ht="14.25" customHeight="1" s="86"/>
    <row r="114" ht="14.25" customHeight="1" s="86"/>
    <row r="115" ht="14.25" customHeight="1" s="86"/>
    <row r="116" ht="14.25" customHeight="1" s="86"/>
    <row r="117" ht="14.25" customHeight="1" s="86"/>
    <row r="118" ht="14.25" customHeight="1" s="86"/>
    <row r="119" ht="14.25" customHeight="1" s="86"/>
    <row r="120" ht="14.25" customHeight="1" s="86"/>
    <row r="121" ht="14.25" customHeight="1" s="86"/>
    <row r="122" ht="14.25" customHeight="1" s="86"/>
    <row r="123" ht="14.25" customHeight="1" s="86"/>
    <row r="124" ht="14.25" customHeight="1" s="86"/>
    <row r="125" ht="14.25" customHeight="1" s="86"/>
    <row r="126" ht="14.25" customHeight="1" s="86"/>
    <row r="127" ht="14.25" customHeight="1" s="86"/>
    <row r="128" ht="14.25" customHeight="1" s="86"/>
    <row r="129" ht="14.25" customHeight="1" s="86"/>
    <row r="130" ht="14.25" customHeight="1" s="86"/>
    <row r="131" ht="14.25" customHeight="1" s="86"/>
    <row r="132" ht="14.25" customHeight="1" s="86"/>
    <row r="133" ht="14.25" customHeight="1" s="86"/>
    <row r="134" ht="14.25" customHeight="1" s="86"/>
    <row r="135" ht="14.25" customHeight="1" s="86"/>
    <row r="136" ht="14.25" customHeight="1" s="86"/>
    <row r="137" ht="14.25" customHeight="1" s="86"/>
    <row r="138" ht="14.25" customHeight="1" s="86"/>
    <row r="139" ht="14.25" customHeight="1" s="86"/>
    <row r="140" ht="14.25" customHeight="1" s="86"/>
    <row r="141" ht="14.25" customHeight="1" s="86"/>
    <row r="142" ht="14.25" customHeight="1" s="86"/>
    <row r="143" ht="14.25" customHeight="1" s="86"/>
    <row r="144" ht="14.25" customHeight="1" s="86"/>
    <row r="145" ht="14.25" customHeight="1" s="86"/>
    <row r="146" ht="14.25" customHeight="1" s="86"/>
    <row r="147" ht="14.25" customHeight="1" s="86"/>
    <row r="148" ht="14.25" customHeight="1" s="86"/>
    <row r="149" ht="14.25" customHeight="1" s="86"/>
    <row r="150" ht="14.25" customHeight="1" s="86"/>
    <row r="151" ht="14.25" customHeight="1" s="86"/>
    <row r="152" ht="14.25" customHeight="1" s="86"/>
    <row r="153" ht="14.25" customHeight="1" s="86"/>
    <row r="154" ht="14.25" customHeight="1" s="86"/>
    <row r="155" ht="14.25" customHeight="1" s="86"/>
    <row r="156" ht="14.25" customHeight="1" s="86"/>
    <row r="157" ht="14.25" customHeight="1" s="86"/>
    <row r="158" ht="14.25" customHeight="1" s="86"/>
    <row r="159" ht="14.25" customHeight="1" s="86"/>
    <row r="160" ht="14.25" customHeight="1" s="86"/>
    <row r="161" ht="14.25" customHeight="1" s="86"/>
    <row r="162" ht="14.25" customHeight="1" s="86"/>
    <row r="163" ht="14.25" customHeight="1" s="86"/>
    <row r="164" ht="14.25" customHeight="1" s="86"/>
    <row r="165" ht="14.25" customHeight="1" s="86"/>
    <row r="166" ht="14.25" customHeight="1" s="86"/>
    <row r="167" ht="14.25" customHeight="1" s="86"/>
    <row r="168" ht="14.25" customHeight="1" s="86"/>
    <row r="169" ht="14.25" customHeight="1" s="86"/>
    <row r="170" ht="14.25" customHeight="1" s="86"/>
    <row r="171" ht="14.25" customHeight="1" s="86"/>
    <row r="172" ht="14.25" customHeight="1" s="86"/>
    <row r="173" ht="14.25" customHeight="1" s="86"/>
    <row r="174" ht="14.25" customHeight="1" s="86"/>
    <row r="175" ht="14.25" customHeight="1" s="86"/>
    <row r="176" ht="14.25" customHeight="1" s="86"/>
    <row r="177" ht="14.25" customHeight="1" s="86"/>
    <row r="178" ht="14.25" customHeight="1" s="86"/>
    <row r="179" ht="14.25" customHeight="1" s="86"/>
    <row r="180" ht="14.25" customHeight="1" s="86"/>
    <row r="181" ht="14.25" customHeight="1" s="86"/>
    <row r="182" ht="14.25" customHeight="1" s="86"/>
    <row r="183" ht="14.25" customHeight="1" s="86"/>
    <row r="184" ht="14.25" customHeight="1" s="86"/>
    <row r="185" ht="14.25" customHeight="1" s="86"/>
    <row r="186" ht="14.25" customHeight="1" s="86"/>
    <row r="187" ht="14.25" customHeight="1" s="86"/>
    <row r="188" ht="14.25" customHeight="1" s="86"/>
    <row r="189" ht="14.25" customHeight="1" s="86"/>
    <row r="190" ht="14.25" customHeight="1" s="86"/>
    <row r="191" ht="14.25" customHeight="1" s="86"/>
    <row r="192" ht="14.25" customHeight="1" s="86"/>
    <row r="193" ht="14.25" customHeight="1" s="86"/>
    <row r="194" ht="14.25" customHeight="1" s="86"/>
    <row r="195" ht="14.25" customHeight="1" s="86"/>
    <row r="196" ht="14.25" customHeight="1" s="86"/>
    <row r="197" ht="14.25" customHeight="1" s="86"/>
    <row r="198" ht="14.25" customHeight="1" s="86"/>
    <row r="199" ht="14.25" customHeight="1" s="86"/>
    <row r="200" ht="14.25" customHeight="1" s="86"/>
    <row r="201" ht="14.25" customHeight="1" s="86"/>
    <row r="202" ht="14.25" customHeight="1" s="86"/>
    <row r="203" ht="14.25" customHeight="1" s="86"/>
    <row r="204" ht="14.25" customHeight="1" s="86"/>
    <row r="205" ht="14.25" customHeight="1" s="86"/>
    <row r="206" ht="14.25" customHeight="1" s="86"/>
    <row r="207" ht="14.25" customHeight="1" s="86"/>
    <row r="208" ht="14.25" customHeight="1" s="86"/>
    <row r="209" ht="14.25" customHeight="1" s="86"/>
    <row r="210" ht="14.25" customHeight="1" s="86"/>
    <row r="211" ht="14.25" customHeight="1" s="86"/>
    <row r="212" ht="14.25" customHeight="1" s="86"/>
    <row r="213" ht="14.25" customHeight="1" s="86"/>
    <row r="214" ht="14.25" customHeight="1" s="86"/>
    <row r="215" ht="14.25" customHeight="1" s="86"/>
    <row r="216" ht="14.25" customHeight="1" s="86"/>
    <row r="217" ht="14.25" customHeight="1" s="86"/>
    <row r="218" ht="14.25" customHeight="1" s="86"/>
    <row r="219" ht="14.25" customHeight="1" s="86"/>
    <row r="220" ht="14.25" customHeight="1" s="86"/>
    <row r="221" ht="14.25" customHeight="1" s="86"/>
    <row r="222" ht="14.25" customHeight="1" s="86"/>
    <row r="223" ht="14.25" customHeight="1" s="86"/>
    <row r="224" ht="14.25" customHeight="1" s="86"/>
    <row r="225" ht="14.25" customHeight="1" s="86"/>
    <row r="226" ht="14.25" customHeight="1" s="86"/>
    <row r="227" ht="14.25" customHeight="1" s="86"/>
    <row r="228" ht="14.25" customHeight="1" s="86"/>
    <row r="229" ht="14.25" customHeight="1" s="86"/>
    <row r="230" ht="14.25" customHeight="1" s="86"/>
    <row r="231" ht="14.25" customHeight="1" s="86"/>
    <row r="232" ht="14.25" customHeight="1" s="86"/>
    <row r="233" ht="14.25" customHeight="1" s="86"/>
    <row r="234" ht="14.25" customHeight="1" s="86"/>
    <row r="235" ht="14.25" customHeight="1" s="86"/>
    <row r="236" ht="14.25" customHeight="1" s="86"/>
    <row r="237" ht="14.25" customHeight="1" s="86"/>
    <row r="238" ht="14.25" customHeight="1" s="86"/>
    <row r="239" ht="14.25" customHeight="1" s="86"/>
    <row r="240" ht="14.25" customHeight="1" s="86"/>
    <row r="241" ht="14.25" customHeight="1" s="86"/>
    <row r="242" ht="14.25" customHeight="1" s="86"/>
    <row r="243" ht="14.25" customHeight="1" s="86"/>
    <row r="244" ht="14.25" customHeight="1" s="86"/>
    <row r="245" ht="14.25" customHeight="1" s="86"/>
    <row r="246" ht="14.25" customHeight="1" s="86"/>
    <row r="247" ht="14.25" customHeight="1" s="86"/>
    <row r="248" ht="14.25" customHeight="1" s="86"/>
    <row r="249" ht="14.25" customHeight="1" s="86"/>
    <row r="250" ht="14.25" customHeight="1" s="86"/>
    <row r="251" ht="14.25" customHeight="1" s="86"/>
    <row r="252" ht="14.25" customHeight="1" s="86"/>
    <row r="253" ht="14.25" customHeight="1" s="86"/>
    <row r="254" ht="14.25" customHeight="1" s="86"/>
    <row r="255" ht="14.25" customHeight="1" s="86"/>
    <row r="256" ht="14.25" customHeight="1" s="86"/>
    <row r="257" ht="14.25" customHeight="1" s="86"/>
    <row r="258" ht="14.25" customHeight="1" s="86"/>
    <row r="259" ht="14.25" customHeight="1" s="86"/>
    <row r="260" ht="14.25" customHeight="1" s="86"/>
    <row r="261" ht="14.25" customHeight="1" s="86"/>
    <row r="262" ht="14.25" customHeight="1" s="86"/>
    <row r="263" ht="14.25" customHeight="1" s="86"/>
    <row r="264" ht="14.25" customHeight="1" s="86"/>
    <row r="265" ht="14.25" customHeight="1" s="86"/>
    <row r="266" ht="14.25" customHeight="1" s="86"/>
    <row r="267" ht="14.25" customHeight="1" s="86"/>
    <row r="268" ht="14.25" customHeight="1" s="86"/>
    <row r="269" ht="14.25" customHeight="1" s="86"/>
    <row r="270" ht="14.25" customHeight="1" s="86"/>
    <row r="271" ht="14.25" customHeight="1" s="86"/>
    <row r="272" ht="14.25" customHeight="1" s="86"/>
    <row r="273" ht="14.25" customHeight="1" s="86"/>
    <row r="274" ht="14.25" customHeight="1" s="86"/>
    <row r="275" ht="14.25" customHeight="1" s="86"/>
    <row r="276" ht="14.25" customHeight="1" s="86"/>
    <row r="277" ht="14.25" customHeight="1" s="86"/>
    <row r="278" ht="14.25" customHeight="1" s="86"/>
    <row r="279" ht="14.25" customHeight="1" s="86"/>
    <row r="280" ht="14.25" customHeight="1" s="86"/>
    <row r="281" ht="14.25" customHeight="1" s="86"/>
    <row r="282" ht="14.25" customHeight="1" s="86"/>
    <row r="283" ht="14.25" customHeight="1" s="86"/>
    <row r="284" ht="14.25" customHeight="1" s="86"/>
    <row r="285" ht="14.25" customHeight="1" s="86"/>
    <row r="286" ht="14.25" customHeight="1" s="86"/>
    <row r="287" ht="14.25" customHeight="1" s="86"/>
    <row r="288" ht="14.25" customHeight="1" s="86"/>
    <row r="289" ht="14.25" customHeight="1" s="86"/>
    <row r="290" ht="14.25" customHeight="1" s="86"/>
    <row r="291" ht="14.25" customHeight="1" s="86"/>
    <row r="292" ht="14.25" customHeight="1" s="86"/>
    <row r="293" ht="14.25" customHeight="1" s="86"/>
    <row r="294" ht="14.25" customHeight="1" s="86"/>
    <row r="295" ht="14.25" customHeight="1" s="86"/>
    <row r="296" ht="14.25" customHeight="1" s="86"/>
    <row r="297" ht="14.25" customHeight="1" s="86"/>
    <row r="298" ht="14.25" customHeight="1" s="86"/>
    <row r="299" ht="14.25" customHeight="1" s="86"/>
    <row r="300" ht="14.25" customHeight="1" s="86"/>
    <row r="301" ht="14.25" customHeight="1" s="86"/>
    <row r="302" ht="14.25" customHeight="1" s="86"/>
    <row r="303" ht="14.25" customHeight="1" s="86"/>
    <row r="304" ht="14.25" customHeight="1" s="86"/>
    <row r="305" ht="14.25" customHeight="1" s="86"/>
    <row r="306" ht="14.25" customHeight="1" s="86"/>
    <row r="307" ht="14.25" customHeight="1" s="86"/>
    <row r="308" ht="14.25" customHeight="1" s="86"/>
    <row r="309" ht="14.25" customHeight="1" s="86"/>
    <row r="310" ht="14.25" customHeight="1" s="86"/>
    <row r="311" ht="14.25" customHeight="1" s="86"/>
    <row r="312" ht="14.25" customHeight="1" s="86"/>
    <row r="313" ht="14.25" customHeight="1" s="86"/>
    <row r="314" ht="14.25" customHeight="1" s="86"/>
    <row r="315" ht="14.25" customHeight="1" s="86"/>
    <row r="316" ht="14.25" customHeight="1" s="86"/>
    <row r="317" ht="14.25" customHeight="1" s="86"/>
    <row r="318" ht="14.25" customHeight="1" s="86"/>
    <row r="319" ht="14.25" customHeight="1" s="86"/>
    <row r="320" ht="14.25" customHeight="1" s="86"/>
    <row r="321" ht="14.25" customHeight="1" s="86"/>
    <row r="322" ht="14.25" customHeight="1" s="86"/>
    <row r="323" ht="14.25" customHeight="1" s="86"/>
    <row r="324" ht="14.25" customHeight="1" s="86"/>
    <row r="325" ht="14.25" customHeight="1" s="86"/>
    <row r="326" ht="14.25" customHeight="1" s="86"/>
    <row r="327" ht="14.25" customHeight="1" s="86"/>
    <row r="328" ht="14.25" customHeight="1" s="86"/>
    <row r="329" ht="14.25" customHeight="1" s="86"/>
    <row r="330" ht="14.25" customHeight="1" s="86"/>
    <row r="331" ht="14.25" customHeight="1" s="86"/>
    <row r="332" ht="14.25" customHeight="1" s="86"/>
    <row r="333" ht="14.25" customHeight="1" s="86"/>
    <row r="334" ht="14.25" customHeight="1" s="86"/>
    <row r="335" ht="14.25" customHeight="1" s="86"/>
    <row r="336" ht="14.25" customHeight="1" s="86"/>
    <row r="337" ht="14.25" customHeight="1" s="86"/>
    <row r="338" ht="14.25" customHeight="1" s="86"/>
    <row r="339" ht="14.25" customHeight="1" s="86"/>
    <row r="340" ht="14.25" customHeight="1" s="86"/>
    <row r="341" ht="14.25" customHeight="1" s="86"/>
    <row r="342" ht="14.25" customHeight="1" s="86"/>
    <row r="343" ht="14.25" customHeight="1" s="86"/>
    <row r="344" ht="14.25" customHeight="1" s="86"/>
    <row r="345" ht="14.25" customHeight="1" s="86"/>
    <row r="346" ht="14.25" customHeight="1" s="86"/>
    <row r="347" ht="14.25" customHeight="1" s="86"/>
    <row r="348" ht="14.25" customHeight="1" s="86"/>
    <row r="349" ht="14.25" customHeight="1" s="86"/>
    <row r="350" ht="14.25" customHeight="1" s="86"/>
    <row r="351" ht="14.25" customHeight="1" s="86"/>
    <row r="352" ht="14.25" customHeight="1" s="86"/>
    <row r="353" ht="14.25" customHeight="1" s="86"/>
    <row r="354" ht="14.25" customHeight="1" s="86"/>
    <row r="355" ht="14.25" customHeight="1" s="86"/>
    <row r="356" ht="14.25" customHeight="1" s="86"/>
    <row r="357" ht="14.25" customHeight="1" s="86"/>
    <row r="358" ht="14.25" customHeight="1" s="86"/>
    <row r="359" ht="14.25" customHeight="1" s="86"/>
    <row r="360" ht="14.25" customHeight="1" s="86"/>
    <row r="361" ht="14.25" customHeight="1" s="86"/>
    <row r="362" ht="14.25" customHeight="1" s="86"/>
    <row r="363" ht="14.25" customHeight="1" s="86"/>
    <row r="364" ht="14.25" customHeight="1" s="86"/>
    <row r="365" ht="14.25" customHeight="1" s="86"/>
    <row r="366" ht="14.25" customHeight="1" s="86"/>
    <row r="367" ht="14.25" customHeight="1" s="86"/>
    <row r="368" ht="14.25" customHeight="1" s="86"/>
    <row r="369" ht="14.25" customHeight="1" s="86"/>
    <row r="370" ht="14.25" customHeight="1" s="86"/>
    <row r="371" ht="14.25" customHeight="1" s="86"/>
    <row r="372" ht="14.25" customHeight="1" s="86"/>
    <row r="373" ht="14.25" customHeight="1" s="86"/>
    <row r="374" ht="14.25" customHeight="1" s="86"/>
    <row r="375" ht="14.25" customHeight="1" s="86"/>
    <row r="376" ht="14.25" customHeight="1" s="86"/>
    <row r="377" ht="14.25" customHeight="1" s="86"/>
    <row r="378" ht="14.25" customHeight="1" s="86"/>
    <row r="379" ht="14.25" customHeight="1" s="86"/>
    <row r="380" ht="14.25" customHeight="1" s="86"/>
    <row r="381" ht="14.25" customHeight="1" s="86"/>
    <row r="382" ht="14.25" customHeight="1" s="86"/>
    <row r="383" ht="14.25" customHeight="1" s="86"/>
    <row r="384" ht="14.25" customHeight="1" s="86"/>
    <row r="385" ht="14.25" customHeight="1" s="86"/>
    <row r="386" ht="14.25" customHeight="1" s="86"/>
    <row r="387" ht="14.25" customHeight="1" s="86"/>
    <row r="388" ht="14.25" customHeight="1" s="86"/>
    <row r="389" ht="14.25" customHeight="1" s="86"/>
    <row r="390" ht="14.25" customHeight="1" s="86"/>
    <row r="391" ht="14.25" customHeight="1" s="86"/>
    <row r="392" ht="14.25" customHeight="1" s="86"/>
    <row r="393" ht="14.25" customHeight="1" s="86"/>
    <row r="394" ht="14.25" customHeight="1" s="86"/>
    <row r="395" ht="14.25" customHeight="1" s="86"/>
    <row r="396" ht="14.25" customHeight="1" s="86"/>
    <row r="397" ht="14.25" customHeight="1" s="86"/>
    <row r="398" ht="14.25" customHeight="1" s="86"/>
    <row r="399" ht="14.25" customHeight="1" s="86"/>
    <row r="400" ht="14.25" customHeight="1" s="86"/>
    <row r="401" ht="14.25" customHeight="1" s="86"/>
    <row r="402" ht="14.25" customHeight="1" s="86"/>
    <row r="403" ht="14.25" customHeight="1" s="86"/>
    <row r="404" ht="14.25" customHeight="1" s="86"/>
    <row r="405" ht="14.25" customHeight="1" s="86"/>
    <row r="406" ht="14.25" customHeight="1" s="86"/>
    <row r="407" ht="14.25" customHeight="1" s="86"/>
    <row r="408" ht="14.25" customHeight="1" s="86"/>
    <row r="409" ht="14.25" customHeight="1" s="86"/>
    <row r="410" ht="14.25" customHeight="1" s="86"/>
    <row r="411" ht="14.25" customHeight="1" s="86"/>
    <row r="412" ht="14.25" customHeight="1" s="86"/>
    <row r="413" ht="14.25" customHeight="1" s="86"/>
    <row r="414" ht="14.25" customHeight="1" s="86"/>
    <row r="415" ht="14.25" customHeight="1" s="86"/>
    <row r="416" ht="14.25" customHeight="1" s="86"/>
    <row r="417" ht="14.25" customHeight="1" s="86"/>
    <row r="418" ht="14.25" customHeight="1" s="86"/>
    <row r="419" ht="14.25" customHeight="1" s="86"/>
    <row r="420" ht="14.25" customHeight="1" s="86"/>
    <row r="421" ht="14.25" customHeight="1" s="86"/>
    <row r="422" ht="14.25" customHeight="1" s="86"/>
    <row r="423" ht="14.25" customHeight="1" s="86"/>
    <row r="424" ht="14.25" customHeight="1" s="86"/>
    <row r="425" ht="14.25" customHeight="1" s="86"/>
    <row r="426" ht="14.25" customHeight="1" s="86"/>
    <row r="427" ht="14.25" customHeight="1" s="86"/>
    <row r="428" ht="14.25" customHeight="1" s="86"/>
    <row r="429" ht="14.25" customHeight="1" s="86"/>
    <row r="430" ht="14.25" customHeight="1" s="86"/>
    <row r="431" ht="14.25" customHeight="1" s="86"/>
    <row r="432" ht="14.25" customHeight="1" s="86"/>
    <row r="433" ht="14.25" customHeight="1" s="86"/>
    <row r="434" ht="14.25" customHeight="1" s="86"/>
    <row r="435" ht="14.25" customHeight="1" s="86"/>
    <row r="436" ht="14.25" customHeight="1" s="86"/>
    <row r="437" ht="14.25" customHeight="1" s="86"/>
    <row r="438" ht="14.25" customHeight="1" s="86"/>
    <row r="439" ht="14.25" customHeight="1" s="86"/>
    <row r="440" ht="14.25" customHeight="1" s="86"/>
    <row r="441" ht="14.25" customHeight="1" s="86"/>
    <row r="442" ht="14.25" customHeight="1" s="86"/>
    <row r="443" ht="14.25" customHeight="1" s="86"/>
    <row r="444" ht="14.25" customHeight="1" s="86"/>
    <row r="445" ht="14.25" customHeight="1" s="86"/>
    <row r="446" ht="14.25" customHeight="1" s="86"/>
    <row r="447" ht="14.25" customHeight="1" s="86"/>
    <row r="448" ht="14.25" customHeight="1" s="86"/>
    <row r="449" ht="14.25" customHeight="1" s="86"/>
    <row r="450" ht="14.25" customHeight="1" s="86"/>
    <row r="451" ht="14.25" customHeight="1" s="86"/>
    <row r="452" ht="14.25" customHeight="1" s="86"/>
    <row r="453" ht="14.25" customHeight="1" s="86"/>
    <row r="454" ht="14.25" customHeight="1" s="86"/>
    <row r="455" ht="14.25" customHeight="1" s="86"/>
    <row r="456" ht="14.25" customHeight="1" s="86"/>
    <row r="457" ht="14.25" customHeight="1" s="86"/>
    <row r="458" ht="14.25" customHeight="1" s="86"/>
    <row r="459" ht="14.25" customHeight="1" s="86"/>
    <row r="460" ht="14.25" customHeight="1" s="86"/>
    <row r="461" ht="14.25" customHeight="1" s="86"/>
    <row r="462" ht="14.25" customHeight="1" s="86"/>
    <row r="463" ht="14.25" customHeight="1" s="86"/>
    <row r="464" ht="14.25" customHeight="1" s="86"/>
    <row r="465" ht="14.25" customHeight="1" s="86"/>
    <row r="466" ht="14.25" customHeight="1" s="86"/>
    <row r="467" ht="14.25" customHeight="1" s="86"/>
    <row r="468" ht="14.25" customHeight="1" s="86"/>
    <row r="469" ht="14.25" customHeight="1" s="86"/>
    <row r="470" ht="14.25" customHeight="1" s="86"/>
    <row r="471" ht="14.25" customHeight="1" s="86"/>
    <row r="472" ht="14.25" customHeight="1" s="86"/>
    <row r="473" ht="14.25" customHeight="1" s="86"/>
    <row r="474" ht="14.25" customHeight="1" s="86"/>
    <row r="475" ht="14.25" customHeight="1" s="86"/>
    <row r="476" ht="14.25" customHeight="1" s="86"/>
    <row r="477" ht="14.25" customHeight="1" s="86"/>
    <row r="478" ht="14.25" customHeight="1" s="86"/>
    <row r="479" ht="14.25" customHeight="1" s="86"/>
    <row r="480" ht="14.25" customHeight="1" s="86"/>
    <row r="481" ht="14.25" customHeight="1" s="86"/>
    <row r="482" ht="14.25" customHeight="1" s="86"/>
    <row r="483" ht="14.25" customHeight="1" s="86"/>
    <row r="484" ht="14.25" customHeight="1" s="86"/>
    <row r="485" ht="14.25" customHeight="1" s="86"/>
    <row r="486" ht="14.25" customHeight="1" s="86"/>
    <row r="487" ht="14.25" customHeight="1" s="86"/>
    <row r="488" ht="14.25" customHeight="1" s="86"/>
    <row r="489" ht="14.25" customHeight="1" s="86"/>
    <row r="490" ht="14.25" customHeight="1" s="86"/>
    <row r="491" ht="14.25" customHeight="1" s="86"/>
    <row r="492" ht="14.25" customHeight="1" s="86"/>
    <row r="493" ht="14.25" customHeight="1" s="86"/>
    <row r="494" ht="14.25" customHeight="1" s="86"/>
    <row r="495" ht="14.25" customHeight="1" s="86"/>
    <row r="496" ht="14.25" customHeight="1" s="86"/>
    <row r="497" ht="14.25" customHeight="1" s="86"/>
    <row r="498" ht="14.25" customHeight="1" s="86"/>
    <row r="499" ht="14.25" customHeight="1" s="86"/>
    <row r="500" ht="14.25" customHeight="1" s="86"/>
    <row r="501" ht="14.25" customHeight="1" s="86"/>
    <row r="502" ht="14.25" customHeight="1" s="86"/>
    <row r="503" ht="14.25" customHeight="1" s="86"/>
    <row r="504" ht="14.25" customHeight="1" s="86"/>
    <row r="505" ht="14.25" customHeight="1" s="86"/>
    <row r="506" ht="14.25" customHeight="1" s="86"/>
    <row r="507" ht="14.25" customHeight="1" s="86"/>
    <row r="508" ht="14.25" customHeight="1" s="86"/>
    <row r="509" ht="14.25" customHeight="1" s="86"/>
    <row r="510" ht="14.25" customHeight="1" s="86"/>
    <row r="511" ht="14.25" customHeight="1" s="86"/>
    <row r="512" ht="14.25" customHeight="1" s="86"/>
    <row r="513" ht="14.25" customHeight="1" s="86"/>
    <row r="514" ht="14.25" customHeight="1" s="86"/>
    <row r="515" ht="14.25" customHeight="1" s="86"/>
    <row r="516" ht="14.25" customHeight="1" s="86"/>
    <row r="517" ht="14.25" customHeight="1" s="86"/>
    <row r="518" ht="14.25" customHeight="1" s="86"/>
    <row r="519" ht="14.25" customHeight="1" s="86"/>
    <row r="520" ht="14.25" customHeight="1" s="86"/>
    <row r="521" ht="14.25" customHeight="1" s="86"/>
    <row r="522" ht="14.25" customHeight="1" s="86"/>
    <row r="523" ht="14.25" customHeight="1" s="86"/>
    <row r="524" ht="14.25" customHeight="1" s="86"/>
    <row r="525" ht="14.25" customHeight="1" s="86"/>
    <row r="526" ht="14.25" customHeight="1" s="86"/>
    <row r="527" ht="14.25" customHeight="1" s="86"/>
    <row r="528" ht="14.25" customHeight="1" s="86"/>
    <row r="529" ht="14.25" customHeight="1" s="86"/>
    <row r="530" ht="14.25" customHeight="1" s="86"/>
    <row r="531" ht="14.25" customHeight="1" s="86"/>
    <row r="532" ht="14.25" customHeight="1" s="86"/>
    <row r="533" ht="14.25" customHeight="1" s="86"/>
    <row r="534" ht="14.25" customHeight="1" s="86"/>
    <row r="535" ht="14.25" customHeight="1" s="86"/>
    <row r="536" ht="14.25" customHeight="1" s="86"/>
    <row r="537" ht="14.25" customHeight="1" s="86"/>
    <row r="538" ht="14.25" customHeight="1" s="86"/>
    <row r="539" ht="14.25" customHeight="1" s="86"/>
    <row r="540" ht="14.25" customHeight="1" s="86"/>
    <row r="541" ht="14.25" customHeight="1" s="86"/>
    <row r="542" ht="14.25" customHeight="1" s="86"/>
    <row r="543" ht="14.25" customHeight="1" s="86"/>
    <row r="544" ht="14.25" customHeight="1" s="86"/>
    <row r="545" ht="14.25" customHeight="1" s="86"/>
    <row r="546" ht="14.25" customHeight="1" s="86"/>
    <row r="547" ht="14.25" customHeight="1" s="86"/>
    <row r="548" ht="14.25" customHeight="1" s="86"/>
    <row r="549" ht="14.25" customHeight="1" s="86"/>
    <row r="550" ht="14.25" customHeight="1" s="86"/>
    <row r="551" ht="14.25" customHeight="1" s="86"/>
    <row r="552" ht="14.25" customHeight="1" s="86"/>
    <row r="553" ht="14.25" customHeight="1" s="86"/>
    <row r="554" ht="14.25" customHeight="1" s="86"/>
    <row r="555" ht="14.25" customHeight="1" s="86"/>
    <row r="556" ht="14.25" customHeight="1" s="86"/>
    <row r="557" ht="14.25" customHeight="1" s="86"/>
    <row r="558" ht="14.25" customHeight="1" s="86"/>
    <row r="559" ht="14.25" customHeight="1" s="86"/>
    <row r="560" ht="14.25" customHeight="1" s="86"/>
    <row r="561" ht="14.25" customHeight="1" s="86"/>
    <row r="562" ht="14.25" customHeight="1" s="86"/>
    <row r="563" ht="14.25" customHeight="1" s="86"/>
    <row r="564" ht="14.25" customHeight="1" s="86"/>
    <row r="565" ht="14.25" customHeight="1" s="86"/>
    <row r="566" ht="14.25" customHeight="1" s="86"/>
    <row r="567" ht="14.25" customHeight="1" s="86"/>
    <row r="568" ht="14.25" customHeight="1" s="86"/>
    <row r="569" ht="14.25" customHeight="1" s="86"/>
    <row r="570" ht="14.25" customHeight="1" s="86"/>
    <row r="571" ht="14.25" customHeight="1" s="86"/>
    <row r="572" ht="14.25" customHeight="1" s="86"/>
    <row r="573" ht="14.25" customHeight="1" s="86"/>
    <row r="574" ht="14.25" customHeight="1" s="86"/>
    <row r="575" ht="14.25" customHeight="1" s="86"/>
    <row r="576" ht="14.25" customHeight="1" s="86"/>
    <row r="577" ht="14.25" customHeight="1" s="86"/>
    <row r="578" ht="14.25" customHeight="1" s="86"/>
    <row r="579" ht="14.25" customHeight="1" s="86"/>
    <row r="580" ht="14.25" customHeight="1" s="86"/>
    <row r="581" ht="14.25" customHeight="1" s="86"/>
    <row r="582" ht="14.25" customHeight="1" s="86"/>
    <row r="583" ht="14.25" customHeight="1" s="86"/>
    <row r="584" ht="14.25" customHeight="1" s="86"/>
    <row r="585" ht="14.25" customHeight="1" s="86"/>
    <row r="586" ht="14.25" customHeight="1" s="86"/>
    <row r="587" ht="14.25" customHeight="1" s="86"/>
    <row r="588" ht="14.25" customHeight="1" s="86"/>
    <row r="589" ht="14.25" customHeight="1" s="86"/>
    <row r="590" ht="14.25" customHeight="1" s="86"/>
    <row r="591" ht="14.25" customHeight="1" s="86"/>
    <row r="592" ht="14.25" customHeight="1" s="86"/>
    <row r="593" ht="14.25" customHeight="1" s="86"/>
    <row r="594" ht="14.25" customHeight="1" s="86"/>
    <row r="595" ht="14.25" customHeight="1" s="86"/>
    <row r="596" ht="14.25" customHeight="1" s="86"/>
    <row r="597" ht="14.25" customHeight="1" s="86"/>
    <row r="598" ht="14.25" customHeight="1" s="86"/>
    <row r="599" ht="14.25" customHeight="1" s="86"/>
    <row r="600" ht="14.25" customHeight="1" s="86"/>
    <row r="601" ht="14.25" customHeight="1" s="86"/>
    <row r="602" ht="14.25" customHeight="1" s="86"/>
    <row r="603" ht="14.25" customHeight="1" s="86"/>
    <row r="604" ht="14.25" customHeight="1" s="86"/>
    <row r="605" ht="14.25" customHeight="1" s="86"/>
    <row r="606" ht="14.25" customHeight="1" s="86"/>
    <row r="607" ht="14.25" customHeight="1" s="86"/>
    <row r="608" ht="14.25" customHeight="1" s="86"/>
    <row r="609" ht="14.25" customHeight="1" s="86"/>
    <row r="610" ht="14.25" customHeight="1" s="86"/>
    <row r="611" ht="14.25" customHeight="1" s="86"/>
    <row r="612" ht="14.25" customHeight="1" s="86"/>
    <row r="613" ht="14.25" customHeight="1" s="86"/>
    <row r="614" ht="14.25" customHeight="1" s="86"/>
    <row r="615" ht="14.25" customHeight="1" s="86"/>
    <row r="616" ht="14.25" customHeight="1" s="86"/>
    <row r="617" ht="14.25" customHeight="1" s="86"/>
    <row r="618" ht="14.25" customHeight="1" s="86"/>
    <row r="619" ht="14.25" customHeight="1" s="86"/>
    <row r="620" ht="14.25" customHeight="1" s="86"/>
    <row r="621" ht="14.25" customHeight="1" s="86"/>
    <row r="622" ht="14.25" customHeight="1" s="86"/>
    <row r="623" ht="14.25" customHeight="1" s="86"/>
    <row r="624" ht="14.25" customHeight="1" s="86"/>
    <row r="625" ht="14.25" customHeight="1" s="86"/>
    <row r="626" ht="14.25" customHeight="1" s="86"/>
    <row r="627" ht="14.25" customHeight="1" s="86"/>
    <row r="628" ht="14.25" customHeight="1" s="86"/>
    <row r="629" ht="14.25" customHeight="1" s="86"/>
    <row r="630" ht="14.25" customHeight="1" s="86"/>
    <row r="631" ht="14.25" customHeight="1" s="86"/>
    <row r="632" ht="14.25" customHeight="1" s="86"/>
    <row r="633" ht="14.25" customHeight="1" s="86"/>
    <row r="634" ht="14.25" customHeight="1" s="86"/>
    <row r="635" ht="14.25" customHeight="1" s="86"/>
    <row r="636" ht="14.25" customHeight="1" s="86"/>
    <row r="637" ht="14.25" customHeight="1" s="86"/>
    <row r="638" ht="14.25" customHeight="1" s="86"/>
    <row r="639" ht="14.25" customHeight="1" s="86"/>
    <row r="640" ht="14.25" customHeight="1" s="86"/>
    <row r="641" ht="14.25" customHeight="1" s="86"/>
    <row r="642" ht="14.25" customHeight="1" s="86"/>
    <row r="643" ht="14.25" customHeight="1" s="86"/>
    <row r="644" ht="14.25" customHeight="1" s="86"/>
    <row r="645" ht="14.25" customHeight="1" s="86"/>
    <row r="646" ht="14.25" customHeight="1" s="86"/>
    <row r="647" ht="14.25" customHeight="1" s="86"/>
    <row r="648" ht="14.25" customHeight="1" s="86"/>
    <row r="649" ht="14.25" customHeight="1" s="86"/>
    <row r="650" ht="14.25" customHeight="1" s="86"/>
    <row r="651" ht="14.25" customHeight="1" s="86"/>
    <row r="652" ht="14.25" customHeight="1" s="86"/>
    <row r="653" ht="14.25" customHeight="1" s="86"/>
    <row r="654" ht="14.25" customHeight="1" s="86"/>
    <row r="655" ht="14.25" customHeight="1" s="86"/>
    <row r="656" ht="14.25" customHeight="1" s="86"/>
    <row r="657" ht="14.25" customHeight="1" s="86"/>
    <row r="658" ht="14.25" customHeight="1" s="86"/>
    <row r="659" ht="14.25" customHeight="1" s="86"/>
    <row r="660" ht="14.25" customHeight="1" s="86"/>
    <row r="661" ht="14.25" customHeight="1" s="86"/>
    <row r="662" ht="14.25" customHeight="1" s="86"/>
    <row r="663" ht="14.25" customHeight="1" s="86"/>
    <row r="664" ht="14.25" customHeight="1" s="86"/>
    <row r="665" ht="14.25" customHeight="1" s="86"/>
    <row r="666" ht="14.25" customHeight="1" s="86"/>
    <row r="667" ht="14.25" customHeight="1" s="86"/>
    <row r="668" ht="14.25" customHeight="1" s="86"/>
    <row r="669" ht="14.25" customHeight="1" s="86"/>
    <row r="670" ht="14.25" customHeight="1" s="86"/>
    <row r="671" ht="14.25" customHeight="1" s="86"/>
    <row r="672" ht="14.25" customHeight="1" s="86"/>
    <row r="673" ht="14.25" customHeight="1" s="86"/>
    <row r="674" ht="14.25" customHeight="1" s="86"/>
    <row r="675" ht="14.25" customHeight="1" s="86"/>
    <row r="676" ht="14.25" customHeight="1" s="86"/>
    <row r="677" ht="14.25" customHeight="1" s="86"/>
    <row r="678" ht="14.25" customHeight="1" s="86"/>
    <row r="679" ht="14.25" customHeight="1" s="86"/>
    <row r="680" ht="14.25" customHeight="1" s="86"/>
    <row r="681" ht="14.25" customHeight="1" s="86"/>
    <row r="682" ht="14.25" customHeight="1" s="86"/>
    <row r="683" ht="14.25" customHeight="1" s="86"/>
    <row r="684" ht="14.25" customHeight="1" s="86"/>
    <row r="685" ht="14.25" customHeight="1" s="86"/>
    <row r="686" ht="14.25" customHeight="1" s="86"/>
    <row r="687" ht="14.25" customHeight="1" s="86"/>
    <row r="688" ht="14.25" customHeight="1" s="86"/>
    <row r="689" ht="14.25" customHeight="1" s="86"/>
    <row r="690" ht="14.25" customHeight="1" s="86"/>
    <row r="691" ht="14.25" customHeight="1" s="86"/>
    <row r="692" ht="14.25" customHeight="1" s="86"/>
    <row r="693" ht="14.25" customHeight="1" s="86"/>
    <row r="694" ht="14.25" customHeight="1" s="86"/>
    <row r="695" ht="14.25" customHeight="1" s="86"/>
    <row r="696" ht="14.25" customHeight="1" s="86"/>
    <row r="697" ht="14.25" customHeight="1" s="86"/>
    <row r="698" ht="14.25" customHeight="1" s="86"/>
    <row r="699" ht="14.25" customHeight="1" s="86"/>
    <row r="700" ht="14.25" customHeight="1" s="86"/>
    <row r="701" ht="14.25" customHeight="1" s="86"/>
    <row r="702" ht="14.25" customHeight="1" s="86"/>
    <row r="703" ht="14.25" customHeight="1" s="86"/>
    <row r="704" ht="14.25" customHeight="1" s="86"/>
    <row r="705" ht="14.25" customHeight="1" s="86"/>
    <row r="706" ht="14.25" customHeight="1" s="86"/>
    <row r="707" ht="14.25" customHeight="1" s="86"/>
    <row r="708" ht="14.25" customHeight="1" s="86"/>
    <row r="709" ht="14.25" customHeight="1" s="86"/>
    <row r="710" ht="14.25" customHeight="1" s="86"/>
    <row r="711" ht="14.25" customHeight="1" s="86"/>
    <row r="712" ht="14.25" customHeight="1" s="86"/>
    <row r="713" ht="14.25" customHeight="1" s="86"/>
    <row r="714" ht="14.25" customHeight="1" s="86"/>
    <row r="715" ht="14.25" customHeight="1" s="86"/>
    <row r="716" ht="14.25" customHeight="1" s="86"/>
    <row r="717" ht="14.25" customHeight="1" s="86"/>
    <row r="718" ht="14.25" customHeight="1" s="86"/>
    <row r="719" ht="14.25" customHeight="1" s="86"/>
    <row r="720" ht="14.25" customHeight="1" s="86"/>
    <row r="721" ht="14.25" customHeight="1" s="86"/>
    <row r="722" ht="14.25" customHeight="1" s="86"/>
    <row r="723" ht="14.25" customHeight="1" s="86"/>
    <row r="724" ht="14.25" customHeight="1" s="86"/>
    <row r="725" ht="14.25" customHeight="1" s="86"/>
    <row r="726" ht="14.25" customHeight="1" s="86"/>
    <row r="727" ht="14.25" customHeight="1" s="86"/>
    <row r="728" ht="14.25" customHeight="1" s="86"/>
    <row r="729" ht="14.25" customHeight="1" s="86"/>
    <row r="730" ht="14.25" customHeight="1" s="86"/>
    <row r="731" ht="14.25" customHeight="1" s="86"/>
    <row r="732" ht="14.25" customHeight="1" s="86"/>
    <row r="733" ht="14.25" customHeight="1" s="86"/>
    <row r="734" ht="14.25" customHeight="1" s="86"/>
    <row r="735" ht="14.25" customHeight="1" s="86"/>
    <row r="736" ht="14.25" customHeight="1" s="86"/>
    <row r="737" ht="14.25" customHeight="1" s="86"/>
    <row r="738" ht="14.25" customHeight="1" s="86"/>
    <row r="739" ht="14.25" customHeight="1" s="86"/>
    <row r="740" ht="14.25" customHeight="1" s="86"/>
    <row r="741" ht="14.25" customHeight="1" s="86"/>
    <row r="742" ht="14.25" customHeight="1" s="86"/>
    <row r="743" ht="14.25" customHeight="1" s="86"/>
    <row r="744" ht="14.25" customHeight="1" s="86"/>
    <row r="745" ht="14.25" customHeight="1" s="86"/>
    <row r="746" ht="14.25" customHeight="1" s="86"/>
    <row r="747" ht="14.25" customHeight="1" s="86"/>
    <row r="748" ht="14.25" customHeight="1" s="86"/>
    <row r="749" ht="14.25" customHeight="1" s="86"/>
    <row r="750" ht="14.25" customHeight="1" s="86"/>
    <row r="751" ht="14.25" customHeight="1" s="86"/>
    <row r="752" ht="14.25" customHeight="1" s="86"/>
    <row r="753" ht="14.25" customHeight="1" s="86"/>
    <row r="754" ht="14.25" customHeight="1" s="86"/>
    <row r="755" ht="14.25" customHeight="1" s="86"/>
    <row r="756" ht="14.25" customHeight="1" s="86"/>
    <row r="757" ht="14.25" customHeight="1" s="86"/>
    <row r="758" ht="14.25" customHeight="1" s="86"/>
    <row r="759" ht="14.25" customHeight="1" s="86"/>
    <row r="760" ht="14.25" customHeight="1" s="86"/>
    <row r="761" ht="14.25" customHeight="1" s="86"/>
    <row r="762" ht="14.25" customHeight="1" s="86"/>
    <row r="763" ht="14.25" customHeight="1" s="86"/>
    <row r="764" ht="14.25" customHeight="1" s="86"/>
    <row r="765" ht="14.25" customHeight="1" s="86"/>
    <row r="766" ht="14.25" customHeight="1" s="86"/>
    <row r="767" ht="14.25" customHeight="1" s="86"/>
    <row r="768" ht="14.25" customHeight="1" s="86"/>
    <row r="769" ht="14.25" customHeight="1" s="86"/>
    <row r="770" ht="14.25" customHeight="1" s="86"/>
    <row r="771" ht="14.25" customHeight="1" s="86"/>
    <row r="772" ht="14.25" customHeight="1" s="86"/>
    <row r="773" ht="14.25" customHeight="1" s="86"/>
    <row r="774" ht="14.25" customHeight="1" s="86"/>
    <row r="775" ht="14.25" customHeight="1" s="86"/>
    <row r="776" ht="14.25" customHeight="1" s="86"/>
    <row r="777" ht="14.25" customHeight="1" s="86"/>
    <row r="778" ht="14.25" customHeight="1" s="86"/>
    <row r="779" ht="14.25" customHeight="1" s="86"/>
    <row r="780" ht="14.25" customHeight="1" s="86"/>
    <row r="781" ht="14.25" customHeight="1" s="86"/>
    <row r="782" ht="14.25" customHeight="1" s="86"/>
    <row r="783" ht="14.25" customHeight="1" s="86"/>
    <row r="784" ht="14.25" customHeight="1" s="86"/>
    <row r="785" ht="14.25" customHeight="1" s="86"/>
    <row r="786" ht="14.25" customHeight="1" s="86"/>
    <row r="787" ht="14.25" customHeight="1" s="86"/>
    <row r="788" ht="14.25" customHeight="1" s="86"/>
    <row r="789" ht="14.25" customHeight="1" s="86"/>
    <row r="790" ht="14.25" customHeight="1" s="86"/>
    <row r="791" ht="14.25" customHeight="1" s="86"/>
    <row r="792" ht="14.25" customHeight="1" s="86"/>
    <row r="793" ht="14.25" customHeight="1" s="86"/>
    <row r="794" ht="14.25" customHeight="1" s="86"/>
    <row r="795" ht="14.25" customHeight="1" s="86"/>
    <row r="796" ht="14.25" customHeight="1" s="86"/>
    <row r="797" ht="14.25" customHeight="1" s="86"/>
    <row r="798" ht="14.25" customHeight="1" s="86"/>
    <row r="799" ht="14.25" customHeight="1" s="86"/>
    <row r="800" ht="14.25" customHeight="1" s="86"/>
    <row r="801" ht="14.25" customHeight="1" s="86"/>
    <row r="802" ht="14.25" customHeight="1" s="86"/>
    <row r="803" ht="14.25" customHeight="1" s="86"/>
    <row r="804" ht="14.25" customHeight="1" s="86"/>
    <row r="805" ht="14.25" customHeight="1" s="86"/>
    <row r="806" ht="14.25" customHeight="1" s="86"/>
    <row r="807" ht="14.25" customHeight="1" s="86"/>
    <row r="808" ht="14.25" customHeight="1" s="86"/>
    <row r="809" ht="14.25" customHeight="1" s="86"/>
    <row r="810" ht="14.25" customHeight="1" s="86"/>
    <row r="811" ht="14.25" customHeight="1" s="86"/>
    <row r="812" ht="14.25" customHeight="1" s="86"/>
    <row r="813" ht="14.25" customHeight="1" s="86"/>
    <row r="814" ht="14.25" customHeight="1" s="86"/>
    <row r="815" ht="14.25" customHeight="1" s="86"/>
    <row r="816" ht="14.25" customHeight="1" s="86"/>
    <row r="817" ht="14.25" customHeight="1" s="86"/>
    <row r="818" ht="14.25" customHeight="1" s="86"/>
    <row r="819" ht="14.25" customHeight="1" s="86"/>
    <row r="820" ht="14.25" customHeight="1" s="86"/>
    <row r="821" ht="14.25" customHeight="1" s="86"/>
    <row r="822" ht="14.25" customHeight="1" s="86"/>
    <row r="823" ht="14.25" customHeight="1" s="86"/>
    <row r="824" ht="14.25" customHeight="1" s="86"/>
    <row r="825" ht="14.25" customHeight="1" s="86"/>
    <row r="826" ht="14.25" customHeight="1" s="86"/>
    <row r="827" ht="14.25" customHeight="1" s="86"/>
    <row r="828" ht="14.25" customHeight="1" s="86"/>
    <row r="829" ht="14.25" customHeight="1" s="86"/>
    <row r="830" ht="14.25" customHeight="1" s="86"/>
    <row r="831" ht="14.25" customHeight="1" s="86"/>
    <row r="832" ht="14.25" customHeight="1" s="86"/>
    <row r="833" ht="14.25" customHeight="1" s="86"/>
    <row r="834" ht="14.25" customHeight="1" s="86"/>
    <row r="835" ht="14.25" customHeight="1" s="86"/>
    <row r="836" ht="14.25" customHeight="1" s="86"/>
    <row r="837" ht="14.25" customHeight="1" s="86"/>
    <row r="838" ht="14.25" customHeight="1" s="86"/>
    <row r="839" ht="14.25" customHeight="1" s="86"/>
    <row r="840" ht="14.25" customHeight="1" s="86"/>
    <row r="841" ht="14.25" customHeight="1" s="86"/>
    <row r="842" ht="14.25" customHeight="1" s="86"/>
    <row r="843" ht="14.25" customHeight="1" s="86"/>
    <row r="844" ht="14.25" customHeight="1" s="86"/>
    <row r="845" ht="14.25" customHeight="1" s="86"/>
    <row r="846" ht="14.25" customHeight="1" s="86"/>
    <row r="847" ht="14.25" customHeight="1" s="86"/>
    <row r="848" ht="14.25" customHeight="1" s="86"/>
    <row r="849" ht="14.25" customHeight="1" s="86"/>
    <row r="850" ht="14.25" customHeight="1" s="86"/>
    <row r="851" ht="14.25" customHeight="1" s="86"/>
    <row r="852" ht="14.25" customHeight="1" s="86"/>
    <row r="853" ht="14.25" customHeight="1" s="86"/>
    <row r="854" ht="14.25" customHeight="1" s="86"/>
    <row r="855" ht="14.25" customHeight="1" s="86"/>
    <row r="856" ht="14.25" customHeight="1" s="86"/>
    <row r="857" ht="14.25" customHeight="1" s="86"/>
    <row r="858" ht="14.25" customHeight="1" s="86"/>
    <row r="859" ht="14.25" customHeight="1" s="86"/>
    <row r="860" ht="14.25" customHeight="1" s="86"/>
    <row r="861" ht="14.25" customHeight="1" s="86"/>
    <row r="862" ht="14.25" customHeight="1" s="86"/>
    <row r="863" ht="14.25" customHeight="1" s="86"/>
    <row r="864" ht="14.25" customHeight="1" s="86"/>
    <row r="865" ht="14.25" customHeight="1" s="86"/>
    <row r="866" ht="14.25" customHeight="1" s="86"/>
    <row r="867" ht="14.25" customHeight="1" s="86"/>
    <row r="868" ht="14.25" customHeight="1" s="86"/>
    <row r="869" ht="14.25" customHeight="1" s="86"/>
    <row r="870" ht="14.25" customHeight="1" s="86"/>
    <row r="871" ht="14.25" customHeight="1" s="86"/>
    <row r="872" ht="14.25" customHeight="1" s="86"/>
    <row r="873" ht="14.25" customHeight="1" s="86"/>
    <row r="874" ht="14.25" customHeight="1" s="86"/>
    <row r="875" ht="14.25" customHeight="1" s="86"/>
    <row r="876" ht="14.25" customHeight="1" s="86"/>
    <row r="877" ht="14.25" customHeight="1" s="86"/>
    <row r="878" ht="14.25" customHeight="1" s="86"/>
    <row r="879" ht="14.25" customHeight="1" s="86"/>
    <row r="880" ht="14.25" customHeight="1" s="86"/>
    <row r="881" ht="14.25" customHeight="1" s="86"/>
    <row r="882" ht="14.25" customHeight="1" s="86"/>
    <row r="883" ht="14.25" customHeight="1" s="86"/>
    <row r="884" ht="14.25" customHeight="1" s="86"/>
    <row r="885" ht="14.25" customHeight="1" s="86"/>
    <row r="886" ht="14.25" customHeight="1" s="86"/>
    <row r="887" ht="14.25" customHeight="1" s="86"/>
    <row r="888" ht="14.25" customHeight="1" s="86"/>
    <row r="889" ht="14.25" customHeight="1" s="86"/>
    <row r="890" ht="14.25" customHeight="1" s="86"/>
    <row r="891" ht="14.25" customHeight="1" s="86"/>
    <row r="892" ht="14.25" customHeight="1" s="86"/>
    <row r="893" ht="14.25" customHeight="1" s="86"/>
    <row r="894" ht="14.25" customHeight="1" s="86"/>
    <row r="895" ht="14.25" customHeight="1" s="86"/>
    <row r="896" ht="14.25" customHeight="1" s="86"/>
    <row r="897" ht="14.25" customHeight="1" s="86"/>
    <row r="898" ht="14.25" customHeight="1" s="86"/>
    <row r="899" ht="14.25" customHeight="1" s="86"/>
    <row r="900" ht="14.25" customHeight="1" s="86"/>
    <row r="901" ht="14.25" customHeight="1" s="86"/>
    <row r="902" ht="14.25" customHeight="1" s="86"/>
    <row r="903" ht="14.25" customHeight="1" s="86"/>
    <row r="904" ht="14.25" customHeight="1" s="86"/>
    <row r="905" ht="14.25" customHeight="1" s="86"/>
    <row r="906" ht="14.25" customHeight="1" s="86"/>
    <row r="907" ht="14.25" customHeight="1" s="86"/>
    <row r="908" ht="14.25" customHeight="1" s="86"/>
    <row r="909" ht="14.25" customHeight="1" s="86"/>
    <row r="910" ht="14.25" customHeight="1" s="86"/>
    <row r="911" ht="14.25" customHeight="1" s="86"/>
    <row r="912" ht="14.25" customHeight="1" s="86"/>
    <row r="913" ht="14.25" customHeight="1" s="86"/>
    <row r="914" ht="14.25" customHeight="1" s="86"/>
    <row r="915" ht="14.25" customHeight="1" s="86"/>
    <row r="916" ht="14.25" customHeight="1" s="86"/>
    <row r="917" ht="14.25" customHeight="1" s="86"/>
    <row r="918" ht="14.25" customHeight="1" s="86"/>
    <row r="919" ht="14.25" customHeight="1" s="86"/>
    <row r="920" ht="14.25" customHeight="1" s="86"/>
    <row r="921" ht="14.25" customHeight="1" s="86"/>
    <row r="922" ht="14.25" customHeight="1" s="86"/>
    <row r="923" ht="14.25" customHeight="1" s="86"/>
    <row r="924" ht="14.25" customHeight="1" s="86"/>
    <row r="925" ht="14.25" customHeight="1" s="86"/>
    <row r="926" ht="14.25" customHeight="1" s="86"/>
    <row r="927" ht="14.25" customHeight="1" s="86"/>
    <row r="928" ht="14.25" customHeight="1" s="86"/>
    <row r="929" ht="14.25" customHeight="1" s="86"/>
    <row r="930" ht="14.25" customHeight="1" s="86"/>
    <row r="931" ht="14.25" customHeight="1" s="86"/>
    <row r="932" ht="14.25" customHeight="1" s="86"/>
    <row r="933" ht="14.25" customHeight="1" s="86"/>
    <row r="934" ht="14.25" customHeight="1" s="86"/>
    <row r="935" ht="14.25" customHeight="1" s="86"/>
    <row r="936" ht="14.25" customHeight="1" s="86"/>
    <row r="937" ht="14.25" customHeight="1" s="86"/>
    <row r="938" ht="14.25" customHeight="1" s="86"/>
    <row r="939" ht="14.25" customHeight="1" s="86"/>
    <row r="940" ht="14.25" customHeight="1" s="86"/>
    <row r="941" ht="14.25" customHeight="1" s="86"/>
    <row r="942" ht="14.25" customHeight="1" s="86"/>
    <row r="943" ht="14.25" customHeight="1" s="86"/>
    <row r="944" ht="14.25" customHeight="1" s="86"/>
    <row r="945" ht="14.25" customHeight="1" s="86"/>
    <row r="946" ht="14.25" customHeight="1" s="86"/>
    <row r="947" ht="14.25" customHeight="1" s="86"/>
    <row r="948" ht="14.25" customHeight="1" s="86"/>
    <row r="949" ht="14.25" customHeight="1" s="86"/>
    <row r="950" ht="14.25" customHeight="1" s="86"/>
    <row r="951" ht="14.25" customHeight="1" s="86"/>
    <row r="952" ht="14.25" customHeight="1" s="86"/>
    <row r="953" ht="14.25" customHeight="1" s="86"/>
    <row r="954" ht="14.25" customHeight="1" s="86"/>
    <row r="955" ht="14.25" customHeight="1" s="86"/>
    <row r="956" ht="14.25" customHeight="1" s="86"/>
    <row r="957" ht="14.25" customHeight="1" s="86"/>
    <row r="958" ht="14.25" customHeight="1" s="86"/>
    <row r="959" ht="14.25" customHeight="1" s="86"/>
    <row r="960" ht="14.25" customHeight="1" s="86"/>
    <row r="961" ht="14.25" customHeight="1" s="86"/>
    <row r="962" ht="14.25" customHeight="1" s="86"/>
    <row r="963" ht="14.25" customHeight="1" s="86"/>
    <row r="964" ht="14.25" customHeight="1" s="86"/>
    <row r="965" ht="14.25" customHeight="1" s="86"/>
    <row r="966" ht="14.25" customHeight="1" s="86"/>
    <row r="967" ht="14.25" customHeight="1" s="86"/>
    <row r="968" ht="14.25" customHeight="1" s="86"/>
    <row r="969" ht="14.25" customHeight="1" s="86"/>
    <row r="970" ht="14.25" customHeight="1" s="86"/>
    <row r="971" ht="14.25" customHeight="1" s="86"/>
    <row r="972" ht="14.25" customHeight="1" s="86"/>
    <row r="973" ht="14.25" customHeight="1" s="86"/>
    <row r="974" ht="14.25" customHeight="1" s="86"/>
    <row r="975" ht="14.25" customHeight="1" s="86"/>
    <row r="976" ht="14.25" customHeight="1" s="86"/>
    <row r="977" ht="14.25" customHeight="1" s="86"/>
    <row r="978" ht="14.25" customHeight="1" s="86"/>
    <row r="979" ht="14.25" customHeight="1" s="86"/>
    <row r="980" ht="14.25" customHeight="1" s="86"/>
    <row r="981" ht="14.25" customHeight="1" s="86"/>
    <row r="982" ht="14.25" customHeight="1" s="86"/>
    <row r="983" ht="14.25" customHeight="1" s="86"/>
    <row r="984" ht="14.25" customHeight="1" s="86"/>
    <row r="985" ht="14.25" customHeight="1" s="86"/>
    <row r="986" ht="14.25" customHeight="1" s="86"/>
    <row r="987" ht="14.25" customHeight="1" s="86"/>
    <row r="988" ht="14.25" customHeight="1" s="86"/>
    <row r="989" ht="14.25" customHeight="1" s="86"/>
    <row r="990" ht="14.25" customHeight="1" s="86"/>
    <row r="991" ht="14.25" customHeight="1" s="86"/>
    <row r="992" ht="14.25" customHeight="1" s="86"/>
    <row r="993" ht="14.25" customHeight="1" s="86"/>
    <row r="994" ht="14.25" customHeight="1" s="86"/>
    <row r="995" ht="14.25" customHeight="1" s="86"/>
    <row r="996" ht="14.25" customHeight="1" s="86"/>
    <row r="997" ht="14.25" customHeight="1" s="86"/>
    <row r="998" ht="14.25" customHeight="1" s="86"/>
    <row r="999" ht="14.25" customHeight="1" s="86"/>
    <row r="1000" ht="14.25" customHeight="1" s="86"/>
  </sheetData>
  <mergeCells count="4">
    <mergeCell ref="A1:F3"/>
    <mergeCell ref="A5:F26"/>
    <mergeCell ref="A4:F4"/>
    <mergeCell ref="H4:I4"/>
  </mergeCells>
  <pageMargins left="0.7" right="0.7" top="0.75" bottom="0.75" header="0" footer="0"/>
  <pageSetup orientation="portrait" paperSize="9"/>
</worksheet>
</file>

<file path=xl/worksheets/sheet2.xml><?xml version="1.0" encoding="utf-8"?>
<worksheet xmlns="http://schemas.openxmlformats.org/spreadsheetml/2006/main">
  <sheetPr codeName="Sheet4">
    <outlinePr summaryBelow="1" summaryRight="1"/>
    <pageSetUpPr/>
  </sheetPr>
  <dimension ref="A1:CY5"/>
  <sheetViews>
    <sheetView workbookViewId="0">
      <pane xSplit="3" ySplit="4" topLeftCell="D5" activePane="bottomRight" state="frozen"/>
      <selection pane="topRight" activeCell="D1" sqref="D1"/>
      <selection pane="bottomLeft" activeCell="A5" sqref="A5"/>
      <selection pane="bottomRight" activeCell="D5" sqref="D5"/>
    </sheetView>
  </sheetViews>
  <sheetFormatPr baseColWidth="8" defaultColWidth="14.43" defaultRowHeight="15" customHeight="1"/>
  <cols>
    <col width="9.140000000000001" customWidth="1" style="86" min="1" max="34"/>
    <col width="15" customWidth="1" style="86" min="35" max="35"/>
    <col width="9.140000000000001" customWidth="1" style="86" min="36" max="103"/>
  </cols>
  <sheetData>
    <row r="1" ht="14.25" customHeight="1" s="86">
      <c r="A1" s="21" t="inlineStr">
        <is>
          <t>HCX_Employee_Census_V1.12</t>
        </is>
      </c>
      <c r="B1" s="22" t="n"/>
      <c r="C1" s="23" t="n"/>
      <c r="D1" s="23" t="n"/>
      <c r="E1" s="23" t="n"/>
      <c r="F1" s="24" t="n"/>
      <c r="G1" s="24" t="n"/>
      <c r="H1" s="22" t="n"/>
      <c r="I1" s="23" t="n"/>
      <c r="J1" s="22" t="n"/>
      <c r="K1" s="23" t="n"/>
      <c r="L1" s="24" t="n"/>
      <c r="M1" s="24" t="n"/>
      <c r="N1" s="24" t="n"/>
      <c r="O1" s="23" t="n"/>
      <c r="P1" s="23" t="n"/>
      <c r="Q1" s="23" t="n"/>
      <c r="R1" s="23" t="n"/>
      <c r="S1" s="25" t="n"/>
      <c r="T1" s="25" t="n"/>
      <c r="U1" s="26" t="n"/>
      <c r="V1" s="23" t="n"/>
      <c r="W1" s="23" t="n"/>
      <c r="X1" s="23" t="n"/>
      <c r="Y1" s="23" t="n"/>
      <c r="Z1" s="23" t="n"/>
      <c r="AA1" s="23" t="n"/>
      <c r="AB1" s="23" t="n"/>
      <c r="AC1" s="23" t="n"/>
      <c r="AD1" s="23" t="n"/>
      <c r="AE1" s="23" t="n"/>
      <c r="AF1" s="23" t="n"/>
      <c r="AG1" s="23" t="n"/>
      <c r="AH1" s="23" t="n"/>
      <c r="AI1" s="23" t="n"/>
      <c r="AJ1" s="23" t="n"/>
      <c r="AK1" s="23" t="n"/>
      <c r="AL1" s="23" t="n"/>
      <c r="AM1" s="23" t="n"/>
      <c r="AN1" s="23" t="n"/>
      <c r="AO1" s="23" t="n"/>
      <c r="AP1" s="23" t="n"/>
      <c r="AQ1" s="23" t="n"/>
      <c r="AR1" s="23" t="n"/>
      <c r="AS1" s="23" t="n"/>
      <c r="AT1" s="23" t="n"/>
      <c r="AU1" s="23" t="n"/>
      <c r="AV1" s="23" t="n"/>
      <c r="AW1" s="23" t="n"/>
      <c r="AX1" s="23" t="n"/>
      <c r="AY1" s="23" t="n"/>
      <c r="AZ1" s="24" t="n"/>
      <c r="BA1" s="24" t="n"/>
      <c r="BB1" s="23" t="n"/>
      <c r="BC1" s="23" t="n"/>
      <c r="BD1" s="23" t="n"/>
      <c r="BE1" s="23" t="n"/>
      <c r="BF1" s="23" t="n"/>
      <c r="BG1" s="23" t="n"/>
      <c r="BH1" s="23" t="n"/>
      <c r="BI1" s="23" t="n"/>
      <c r="BJ1" s="23" t="n"/>
      <c r="BK1" s="23" t="n"/>
      <c r="BL1" s="23" t="n"/>
      <c r="BM1" s="23" t="n"/>
      <c r="BN1" s="23" t="n"/>
      <c r="BO1" s="23" t="n"/>
      <c r="BP1" s="23" t="n"/>
      <c r="BQ1" s="23" t="n"/>
      <c r="BR1" s="23" t="n"/>
      <c r="BS1" s="23" t="n"/>
      <c r="BT1" s="23" t="n"/>
      <c r="BU1" s="23" t="n"/>
      <c r="BV1" s="23" t="n"/>
      <c r="BW1" s="23" t="n"/>
      <c r="BX1" s="23" t="n"/>
      <c r="BY1" s="23" t="n"/>
      <c r="BZ1" s="23" t="n"/>
      <c r="CA1" s="23" t="n"/>
      <c r="CB1" s="23" t="n"/>
      <c r="CC1" s="23" t="n"/>
      <c r="CD1" s="23" t="n"/>
      <c r="CE1" s="23" t="n"/>
      <c r="CF1" s="23" t="n"/>
      <c r="CG1" s="23" t="n"/>
      <c r="CH1" s="23" t="n"/>
      <c r="CI1" s="23" t="n"/>
      <c r="CJ1" s="23" t="n"/>
      <c r="CK1" s="23" t="n"/>
      <c r="CL1" s="23" t="n"/>
      <c r="CM1" s="23" t="n"/>
      <c r="CN1" s="23" t="n"/>
      <c r="CO1" s="23" t="n"/>
      <c r="CP1" s="23" t="n"/>
      <c r="CQ1" s="23" t="n"/>
      <c r="CR1" s="23" t="n"/>
      <c r="CS1" s="23" t="n"/>
      <c r="CT1" s="23" t="n"/>
      <c r="CU1" s="23" t="n"/>
      <c r="CV1" s="23" t="n"/>
      <c r="CW1" s="23" t="n"/>
      <c r="CX1" s="23" t="n"/>
      <c r="CY1" s="23" t="n"/>
    </row>
    <row r="2" ht="16.5" customHeight="1" s="86">
      <c r="A2" s="22" t="n"/>
      <c r="B2" s="22" t="n"/>
      <c r="C2" s="27" t="n"/>
      <c r="D2" s="27" t="n"/>
      <c r="E2" s="22" t="n"/>
      <c r="F2" s="24" t="n"/>
      <c r="G2" s="24" t="n"/>
      <c r="H2" s="22" t="n"/>
      <c r="I2" s="23" t="n"/>
      <c r="J2" s="22" t="n"/>
      <c r="K2" s="22" t="n"/>
      <c r="L2" s="24" t="n"/>
      <c r="M2" s="24" t="n"/>
      <c r="N2" s="24" t="n"/>
      <c r="O2" s="22" t="n"/>
      <c r="P2" s="22" t="n"/>
      <c r="Q2" s="22" t="n"/>
      <c r="R2" s="22" t="n"/>
      <c r="S2" s="25" t="n"/>
      <c r="T2" s="25" t="n"/>
      <c r="U2" s="25" t="n"/>
      <c r="V2" s="23" t="n"/>
      <c r="W2" s="23" t="n"/>
      <c r="X2" s="23" t="n"/>
      <c r="Y2" s="23" t="n"/>
      <c r="Z2" s="23" t="n"/>
      <c r="AA2" s="22" t="n"/>
      <c r="AB2" s="22" t="n"/>
      <c r="AC2" s="22" t="n"/>
      <c r="AD2" s="22" t="n"/>
      <c r="AE2" s="22" t="n"/>
      <c r="AF2" s="22" t="n"/>
      <c r="AG2" s="22" t="n"/>
      <c r="AH2" s="22" t="n"/>
      <c r="AI2" s="22" t="n"/>
      <c r="AJ2" s="23" t="n"/>
      <c r="AK2" s="23" t="n"/>
      <c r="AL2" s="22" t="n"/>
      <c r="AM2" s="22" t="n"/>
      <c r="AN2" s="22" t="n"/>
      <c r="AO2" s="22" t="n"/>
      <c r="AP2" s="22" t="n"/>
      <c r="AQ2" s="22" t="n"/>
      <c r="AR2" s="22" t="n"/>
      <c r="AS2" s="22" t="n"/>
      <c r="AT2" s="22" t="n"/>
      <c r="AU2" s="23" t="n"/>
      <c r="AV2" s="23" t="n"/>
      <c r="AW2" s="23" t="n"/>
      <c r="AX2" s="23" t="n"/>
      <c r="AY2" s="23" t="n"/>
      <c r="AZ2" s="24" t="n"/>
      <c r="BA2" s="24"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row>
    <row r="3" ht="14.25" customHeight="1" s="86">
      <c r="A3" s="22" t="n"/>
      <c r="B3" s="22" t="n"/>
      <c r="C3" s="22" t="n"/>
      <c r="D3" s="22" t="n"/>
      <c r="E3" s="22" t="n"/>
      <c r="F3" s="24" t="n"/>
      <c r="G3" s="24" t="n"/>
      <c r="H3" s="22" t="n"/>
      <c r="I3" s="22" t="n"/>
      <c r="J3" s="22" t="n"/>
      <c r="K3" s="22" t="n"/>
      <c r="L3" s="24" t="n"/>
      <c r="M3" s="24" t="n"/>
      <c r="N3" s="24" t="n"/>
      <c r="O3" s="22" t="n"/>
      <c r="P3" s="22" t="n"/>
      <c r="Q3" s="22" t="n"/>
      <c r="R3" s="22" t="n"/>
      <c r="S3" s="25" t="n"/>
      <c r="T3" s="25" t="n"/>
      <c r="U3" s="25" t="n"/>
      <c r="V3" s="23" t="n"/>
      <c r="W3" s="23" t="n"/>
      <c r="X3" s="23" t="n"/>
      <c r="Y3" s="23" t="n"/>
      <c r="Z3" s="23" t="n"/>
      <c r="AA3" s="22" t="n"/>
      <c r="AB3" s="22" t="n"/>
      <c r="AC3" s="22" t="n"/>
      <c r="AD3" s="22" t="n"/>
      <c r="AE3" s="22" t="n"/>
      <c r="AF3" s="22" t="n"/>
      <c r="AG3" s="22" t="n"/>
      <c r="AH3" s="22" t="n"/>
      <c r="AI3" s="22" t="n"/>
      <c r="AJ3" s="23" t="n"/>
      <c r="AK3" s="23" t="n"/>
      <c r="AL3" s="22" t="n"/>
      <c r="AM3" s="22" t="n"/>
      <c r="AN3" s="22" t="n"/>
      <c r="AO3" s="22" t="n"/>
      <c r="AP3" s="22" t="n"/>
      <c r="AQ3" s="22" t="n"/>
      <c r="AR3" s="22" t="n"/>
      <c r="AS3" s="22" t="n"/>
      <c r="AT3" s="22" t="n"/>
      <c r="AU3" s="23" t="n"/>
      <c r="AV3" s="23" t="n"/>
      <c r="AW3" s="23" t="n"/>
      <c r="AX3" s="23" t="n"/>
      <c r="AY3" s="23" t="n"/>
      <c r="AZ3" s="24" t="n"/>
      <c r="BA3" s="24" t="n"/>
      <c r="BB3" s="23" t="n"/>
      <c r="BC3" s="23" t="n"/>
      <c r="BD3" s="23" t="n"/>
      <c r="BE3" s="23" t="n"/>
      <c r="BF3" s="23" t="n"/>
      <c r="BG3" s="23" t="n"/>
      <c r="BH3" s="23" t="n"/>
      <c r="BI3" s="23" t="n"/>
      <c r="BJ3" s="23" t="n"/>
      <c r="BK3" s="23" t="n"/>
      <c r="BL3" s="23" t="n"/>
      <c r="BM3" s="23" t="n"/>
      <c r="BN3" s="23" t="n"/>
      <c r="BO3" s="23" t="n"/>
      <c r="BP3" s="23" t="n"/>
      <c r="BQ3" s="23" t="n"/>
      <c r="BR3" s="23" t="n"/>
      <c r="BS3" s="23" t="n"/>
      <c r="BT3" s="23" t="n"/>
      <c r="BU3" s="23" t="n"/>
      <c r="BV3" s="23" t="n"/>
      <c r="BW3" s="23" t="n"/>
      <c r="BX3" s="23" t="n"/>
      <c r="BY3" s="23" t="n"/>
      <c r="BZ3" s="23" t="n"/>
      <c r="CA3" s="23" t="n"/>
      <c r="CB3" s="23" t="n"/>
      <c r="CC3" s="23" t="n"/>
      <c r="CD3" s="23" t="n"/>
      <c r="CE3" s="23" t="n"/>
      <c r="CF3" s="23" t="n"/>
      <c r="CG3" s="23" t="n"/>
      <c r="CH3" s="23" t="n"/>
      <c r="CI3" s="23" t="n"/>
      <c r="CJ3" s="23" t="n"/>
      <c r="CK3" s="23" t="n"/>
      <c r="CL3" s="23" t="n"/>
      <c r="CM3" s="23" t="n"/>
      <c r="CN3" s="23" t="n"/>
      <c r="CO3" s="23" t="n"/>
      <c r="CP3" s="23" t="n"/>
      <c r="CQ3" s="23" t="n"/>
      <c r="CR3" s="23" t="n"/>
      <c r="CS3" s="23" t="n"/>
      <c r="CT3" s="23" t="n"/>
      <c r="CU3" s="23" t="n"/>
      <c r="CV3" s="23" t="n"/>
      <c r="CW3" s="23" t="n"/>
      <c r="CX3" s="23" t="n"/>
      <c r="CY3" s="23" t="n"/>
    </row>
    <row r="4" ht="63.75" customHeight="1" s="86">
      <c r="A4" s="28" t="inlineStr">
        <is>
          <t>Employer Identification Number</t>
        </is>
      </c>
      <c r="B4" s="28" t="inlineStr">
        <is>
          <t>Employee Prefix</t>
        </is>
      </c>
      <c r="C4" s="29" t="inlineStr">
        <is>
          <t>Employee First Name*</t>
        </is>
      </c>
      <c r="D4" s="28" t="inlineStr">
        <is>
          <t>Employee Middle Initial</t>
        </is>
      </c>
      <c r="E4" s="29" t="inlineStr">
        <is>
          <t>Employee Last Name*</t>
        </is>
      </c>
      <c r="F4" s="28" t="inlineStr">
        <is>
          <t>Employee Suffix</t>
        </is>
      </c>
      <c r="G4" s="30" t="inlineStr">
        <is>
          <t>Employee Date of Birth*</t>
        </is>
      </c>
      <c r="H4" s="29" t="inlineStr">
        <is>
          <t xml:space="preserve"> Employee Gender*</t>
        </is>
      </c>
      <c r="I4" s="31" t="inlineStr">
        <is>
          <t>Employee SSN</t>
        </is>
      </c>
      <c r="J4" s="31" t="inlineStr">
        <is>
          <t>Employee Tobacco usage in last 12 months</t>
        </is>
      </c>
      <c r="K4" s="29" t="inlineStr">
        <is>
          <t xml:space="preserve"> Employee ID*</t>
        </is>
      </c>
      <c r="L4" s="29" t="inlineStr">
        <is>
          <t>Employment
Status*</t>
        </is>
      </c>
      <c r="M4" s="30" t="inlineStr">
        <is>
          <t>Date of Hire*</t>
        </is>
      </c>
      <c r="N4" s="32" t="inlineStr">
        <is>
          <t>Termination Date</t>
        </is>
      </c>
      <c r="O4" s="33" t="inlineStr">
        <is>
          <t>Termination Reason</t>
        </is>
      </c>
      <c r="P4" s="29" t="inlineStr">
        <is>
          <t>Employment Type*</t>
        </is>
      </c>
      <c r="Q4" s="29" t="inlineStr">
        <is>
          <t>Others (Employment Type)*</t>
        </is>
      </c>
      <c r="R4" s="29" t="inlineStr">
        <is>
          <t>Pay Type*</t>
        </is>
      </c>
      <c r="S4" s="34" t="inlineStr">
        <is>
          <t>Pay Group*</t>
        </is>
      </c>
      <c r="T4" s="34" t="inlineStr">
        <is>
          <t>Work Schedule</t>
        </is>
      </c>
      <c r="U4" s="35" t="inlineStr">
        <is>
          <t>Annual Salary(Digits)**</t>
        </is>
      </c>
      <c r="V4" s="36" t="inlineStr">
        <is>
          <t>Salary Effective Date</t>
        </is>
      </c>
      <c r="W4" s="37" t="inlineStr">
        <is>
          <t>Working Hours per Week(Digits)**</t>
        </is>
      </c>
      <c r="X4" s="37" t="inlineStr">
        <is>
          <t>Hourly Pay Rate**</t>
        </is>
      </c>
      <c r="Y4" s="28" t="inlineStr">
        <is>
          <t>Bonus</t>
        </is>
      </c>
      <c r="Z4" s="28" t="inlineStr">
        <is>
          <t>Salary Commissions</t>
        </is>
      </c>
      <c r="AA4" s="28" t="inlineStr">
        <is>
          <t>Benefits Class</t>
        </is>
      </c>
      <c r="AB4" s="28" t="inlineStr">
        <is>
          <t>Job Title</t>
        </is>
      </c>
      <c r="AC4" s="28" t="inlineStr">
        <is>
          <t>Department</t>
        </is>
      </c>
      <c r="AD4" s="28" t="inlineStr">
        <is>
          <t>Employee Type</t>
        </is>
      </c>
      <c r="AE4" s="28" t="inlineStr">
        <is>
          <t>Union Classification</t>
        </is>
      </c>
      <c r="AF4" s="28" t="inlineStr">
        <is>
          <t>FLSA Classification</t>
        </is>
      </c>
      <c r="AG4" s="28" t="inlineStr">
        <is>
          <t>Work Location</t>
        </is>
      </c>
      <c r="AH4" s="28" t="inlineStr">
        <is>
          <t>Division</t>
        </is>
      </c>
      <c r="AI4" s="31" t="inlineStr">
        <is>
          <t>Personal Email</t>
        </is>
      </c>
      <c r="AJ4" s="29" t="inlineStr">
        <is>
          <t>Official Email*</t>
        </is>
      </c>
      <c r="AK4" s="38" t="inlineStr">
        <is>
          <t>Phone Number(Digits)</t>
        </is>
      </c>
      <c r="AL4" s="31" t="inlineStr">
        <is>
          <t>Employee Address Line 1</t>
        </is>
      </c>
      <c r="AM4" s="28" t="inlineStr">
        <is>
          <t>Employee Address Line 2</t>
        </is>
      </c>
      <c r="AN4" s="29" t="inlineStr">
        <is>
          <t>City*</t>
        </is>
      </c>
      <c r="AO4" s="29" t="inlineStr">
        <is>
          <t>Zipcode*</t>
        </is>
      </c>
      <c r="AP4" s="29" t="inlineStr">
        <is>
          <t>State(Abbreviation)*</t>
        </is>
      </c>
      <c r="AQ4" s="31" t="inlineStr">
        <is>
          <t>COUNTY</t>
        </is>
      </c>
      <c r="AR4" s="39" t="inlineStr">
        <is>
          <t>Mailing Address Line 1</t>
        </is>
      </c>
      <c r="AS4" s="39" t="inlineStr">
        <is>
          <t>Mailing Address Line 2</t>
        </is>
      </c>
      <c r="AT4" s="39" t="inlineStr">
        <is>
          <t>Mailing City</t>
        </is>
      </c>
      <c r="AU4" s="39" t="inlineStr">
        <is>
          <t>Mailing Zipcode</t>
        </is>
      </c>
      <c r="AV4" s="39" t="inlineStr">
        <is>
          <t>Mailing State(Abbreviation)</t>
        </is>
      </c>
      <c r="AW4" s="39" t="inlineStr">
        <is>
          <t>Mailing County</t>
        </is>
      </c>
      <c r="AX4" s="39" t="inlineStr">
        <is>
          <t>Protected Veteran Status</t>
        </is>
      </c>
      <c r="AY4" s="39" t="inlineStr">
        <is>
          <t>Disability Status</t>
        </is>
      </c>
      <c r="AZ4" s="39" t="inlineStr">
        <is>
          <t>EEO Job Category</t>
        </is>
      </c>
      <c r="BA4" s="39" t="inlineStr">
        <is>
          <t>Race/Ethnicity</t>
        </is>
      </c>
      <c r="BB4" s="39" t="inlineStr">
        <is>
          <t>Original DOH</t>
        </is>
      </c>
      <c r="BC4" s="39" t="inlineStr">
        <is>
          <t>Adjusted Service Date</t>
        </is>
      </c>
      <c r="BD4" s="39" t="inlineStr">
        <is>
          <t>Reporting Manager ID</t>
        </is>
      </c>
      <c r="BE4" s="39" t="inlineStr">
        <is>
          <t>License Number</t>
        </is>
      </c>
      <c r="BF4" s="39" t="inlineStr">
        <is>
          <t>License Type</t>
        </is>
      </c>
      <c r="BG4" s="39" t="inlineStr">
        <is>
          <t>License State</t>
        </is>
      </c>
      <c r="BH4" s="39" t="inlineStr">
        <is>
          <t>License Expiration Date</t>
        </is>
      </c>
      <c r="BI4" s="39" t="inlineStr">
        <is>
          <t>Team</t>
        </is>
      </c>
      <c r="BJ4" s="39" t="inlineStr">
        <is>
          <t>Uniform Top</t>
        </is>
      </c>
      <c r="BK4" s="39" t="inlineStr">
        <is>
          <t>Uniform Bottom</t>
        </is>
      </c>
      <c r="BL4" s="40" t="inlineStr">
        <is>
          <t>Dependent 1 Prefix</t>
        </is>
      </c>
      <c r="BM4" s="40" t="inlineStr">
        <is>
          <t>Dependent 1 First Name*</t>
        </is>
      </c>
      <c r="BN4" s="40" t="inlineStr">
        <is>
          <t>Dependent 1 Middle Initial</t>
        </is>
      </c>
      <c r="BO4" s="40" t="inlineStr">
        <is>
          <t>Dependent 1 Last Name*</t>
        </is>
      </c>
      <c r="BP4" s="40" t="inlineStr">
        <is>
          <t>Dependent 1 Suffix</t>
        </is>
      </c>
      <c r="BQ4" s="32" t="inlineStr">
        <is>
          <t>Dependent 1 DOB*</t>
        </is>
      </c>
      <c r="BR4" s="32" t="inlineStr">
        <is>
          <t>Dependent 1 Gender*</t>
        </is>
      </c>
      <c r="BS4" s="40" t="inlineStr">
        <is>
          <t>Dependent 1 Tobacco usage in last 12 months</t>
        </is>
      </c>
      <c r="BT4" s="40" t="inlineStr">
        <is>
          <t>Dependent 1 Relationship*</t>
        </is>
      </c>
      <c r="BU4" s="40" t="inlineStr">
        <is>
          <t>Dependent 1 is Disabled</t>
        </is>
      </c>
      <c r="BV4" s="40" t="inlineStr">
        <is>
          <t>Dependent 2 Prefix</t>
        </is>
      </c>
      <c r="BW4" s="40" t="inlineStr">
        <is>
          <t>Dependent 2 First Name*</t>
        </is>
      </c>
      <c r="BX4" s="40" t="inlineStr">
        <is>
          <t>Dependent 2 Middle Initial</t>
        </is>
      </c>
      <c r="BY4" s="40" t="inlineStr">
        <is>
          <t>Dependent 2 Last Name*</t>
        </is>
      </c>
      <c r="BZ4" s="40" t="inlineStr">
        <is>
          <t>Dependent 2 Suffix</t>
        </is>
      </c>
      <c r="CA4" s="32" t="inlineStr">
        <is>
          <t>Dependent 2 DOB*</t>
        </is>
      </c>
      <c r="CB4" s="32" t="inlineStr">
        <is>
          <t>Dependent 2 Gender*</t>
        </is>
      </c>
      <c r="CC4" s="40" t="inlineStr">
        <is>
          <t>Dependent 2 Tobacco usage in last 12 months</t>
        </is>
      </c>
      <c r="CD4" s="40" t="inlineStr">
        <is>
          <t>Dependent 2 Relationship*</t>
        </is>
      </c>
      <c r="CE4" s="40" t="inlineStr">
        <is>
          <t>Dependent 2 is Disabled</t>
        </is>
      </c>
      <c r="CF4" s="40" t="inlineStr">
        <is>
          <t>Dependent 3 Prefix</t>
        </is>
      </c>
      <c r="CG4" s="40" t="inlineStr">
        <is>
          <t>Dependent 3 First Name*</t>
        </is>
      </c>
      <c r="CH4" s="40" t="inlineStr">
        <is>
          <t>Dependent 3 Middle Initial</t>
        </is>
      </c>
      <c r="CI4" s="40" t="inlineStr">
        <is>
          <t>Dependent 3 Last Name*</t>
        </is>
      </c>
      <c r="CJ4" s="40" t="inlineStr">
        <is>
          <t>Dependent 3 Suffix</t>
        </is>
      </c>
      <c r="CK4" s="32" t="inlineStr">
        <is>
          <t>Dependent 3 DOB*</t>
        </is>
      </c>
      <c r="CL4" s="32" t="inlineStr">
        <is>
          <t>Dependent 3 Gender*</t>
        </is>
      </c>
      <c r="CM4" s="40" t="inlineStr">
        <is>
          <t>Dependent 3 Tobacco usage in last 12 months</t>
        </is>
      </c>
      <c r="CN4" s="40" t="inlineStr">
        <is>
          <t>Dependent 3 Relationship*</t>
        </is>
      </c>
      <c r="CO4" s="40" t="inlineStr">
        <is>
          <t>Dependent 3 is Disabled</t>
        </is>
      </c>
    </row>
    <row r="5" ht="15" customHeight="1" s="86">
      <c r="C5" t="inlineStr">
        <is>
          <t>John</t>
        </is>
      </c>
      <c r="E5" t="inlineStr">
        <is>
          <t>Doe</t>
        </is>
      </c>
      <c r="K5" t="inlineStr">
        <is>
          <t>TEST-123</t>
        </is>
      </c>
      <c r="M5" t="inlineStr">
        <is>
          <t>01/01/2023</t>
        </is>
      </c>
      <c r="R5" t="inlineStr">
        <is>
          <t>Salary</t>
        </is>
      </c>
      <c r="U5" t="inlineStr">
        <is>
          <t>50000</t>
        </is>
      </c>
      <c r="X5" t="n">
        <v>0</v>
      </c>
    </row>
    <row r="6" ht="15" customHeight="1" s="86"/>
    <row r="7" ht="15" customHeight="1" s="86"/>
    <row r="8" ht="15" customHeight="1" s="86"/>
    <row r="9" ht="15" customHeight="1" s="86"/>
    <row r="10" ht="15" customHeight="1" s="86"/>
    <row r="11" ht="15" customHeight="1" s="86"/>
    <row r="12" ht="15" customHeight="1" s="86"/>
    <row r="13" ht="15" customHeight="1" s="86"/>
    <row r="14" ht="15" customHeight="1" s="86"/>
    <row r="15" ht="15" customHeight="1" s="86"/>
    <row r="16" ht="15" customHeight="1" s="86"/>
    <row r="17" ht="15" customHeight="1" s="86"/>
    <row r="18" ht="15" customHeight="1" s="86"/>
    <row r="19" ht="15" customHeight="1" s="86"/>
    <row r="20" ht="15" customHeight="1" s="86"/>
    <row r="21" ht="15" customHeight="1" s="86"/>
    <row r="22" ht="15" customHeight="1" s="86"/>
    <row r="23" ht="15" customHeight="1" s="86"/>
    <row r="24" ht="15" customHeight="1" s="86"/>
    <row r="25" ht="15" customHeight="1" s="86"/>
    <row r="26" ht="15" customHeight="1" s="86"/>
    <row r="27" ht="15" customHeight="1" s="86"/>
    <row r="28" ht="15" customHeight="1" s="86"/>
    <row r="29" ht="15" customHeight="1" s="86"/>
    <row r="30" ht="15" customHeight="1" s="86"/>
    <row r="31" ht="15" customHeight="1" s="86"/>
    <row r="32" ht="15" customHeight="1" s="86"/>
    <row r="33" ht="15" customHeight="1" s="86"/>
    <row r="34" ht="15" customHeight="1" s="86"/>
    <row r="35" ht="15" customHeight="1" s="86"/>
    <row r="36" ht="15" customHeight="1" s="86"/>
    <row r="37" ht="15" customHeight="1" s="86"/>
    <row r="38" ht="15" customHeight="1" s="86"/>
    <row r="39" ht="15" customHeight="1" s="86"/>
    <row r="40" ht="15" customHeight="1" s="86"/>
    <row r="41" ht="15" customHeight="1" s="86"/>
    <row r="42" ht="15" customHeight="1" s="86"/>
    <row r="43" ht="15" customHeight="1" s="86"/>
    <row r="44" ht="15" customHeight="1" s="86"/>
    <row r="45" ht="15" customHeight="1" s="86"/>
    <row r="46" ht="15" customHeight="1" s="86"/>
    <row r="47" ht="15" customHeight="1" s="86"/>
    <row r="48" ht="15" customHeight="1" s="86"/>
    <row r="49" ht="15" customHeight="1" s="86"/>
    <row r="50" ht="15" customHeight="1" s="86"/>
    <row r="51" ht="15" customHeight="1" s="86"/>
    <row r="52" ht="15" customHeight="1" s="86"/>
    <row r="53" ht="15" customHeight="1" s="86"/>
    <row r="54" ht="15" customHeight="1" s="86"/>
    <row r="55" ht="15" customHeight="1" s="86"/>
    <row r="56" ht="15" customHeight="1" s="86"/>
    <row r="57" ht="15" customHeight="1" s="86"/>
    <row r="58" ht="15" customHeight="1" s="86"/>
    <row r="59" ht="15" customHeight="1" s="86"/>
    <row r="60" ht="15" customHeight="1" s="86"/>
    <row r="61" ht="15" customHeight="1" s="86"/>
    <row r="62" ht="15" customHeight="1" s="86"/>
    <row r="63" ht="15" customHeight="1" s="86"/>
    <row r="64" ht="15" customHeight="1" s="86"/>
    <row r="65" ht="15" customHeight="1" s="86"/>
    <row r="66" ht="15" customHeight="1" s="86"/>
    <row r="67" ht="15" customHeight="1" s="86"/>
    <row r="68" ht="15" customHeight="1" s="86"/>
    <row r="69" ht="15" customHeight="1" s="86"/>
    <row r="70" ht="15" customHeight="1" s="86"/>
    <row r="71" ht="15" customHeight="1" s="86"/>
    <row r="72" ht="15" customHeight="1" s="86"/>
    <row r="73" ht="15" customHeight="1" s="86"/>
    <row r="74" ht="15" customHeight="1" s="86"/>
    <row r="75" ht="15" customHeight="1" s="86"/>
    <row r="76" ht="15" customHeight="1" s="86"/>
    <row r="77" ht="15" customHeight="1" s="86"/>
    <row r="78" ht="15" customHeight="1" s="86"/>
    <row r="79" ht="15" customHeight="1" s="86"/>
    <row r="80" ht="15" customHeight="1" s="86"/>
    <row r="81" ht="15" customHeight="1" s="86"/>
    <row r="82" ht="15" customHeight="1" s="86"/>
    <row r="83" ht="15" customHeight="1" s="86"/>
    <row r="84" ht="15" customHeight="1" s="86"/>
    <row r="85" ht="15" customHeight="1" s="86"/>
    <row r="86" ht="15" customHeight="1" s="86"/>
    <row r="87" ht="15" customHeight="1" s="86"/>
    <row r="88" ht="15" customHeight="1" s="86"/>
    <row r="89" ht="15" customHeight="1" s="86"/>
    <row r="90" ht="15" customHeight="1" s="86"/>
    <row r="91" ht="15" customHeight="1" s="86"/>
    <row r="92" ht="15" customHeight="1" s="86"/>
    <row r="93" ht="15" customHeight="1" s="86"/>
    <row r="94" ht="15" customHeight="1" s="86"/>
    <row r="95" ht="15" customHeight="1" s="86"/>
    <row r="96" ht="15" customHeight="1" s="86"/>
    <row r="97" ht="15" customHeight="1" s="86"/>
    <row r="98" ht="15" customHeight="1" s="86"/>
    <row r="99" ht="15" customHeight="1" s="86"/>
    <row r="100" ht="15" customHeight="1" s="86"/>
    <row r="101" ht="15" customHeight="1" s="86"/>
    <row r="102" ht="15" customHeight="1" s="86"/>
    <row r="103" ht="15" customHeight="1" s="86"/>
    <row r="104" ht="15" customHeight="1" s="86"/>
    <row r="105" ht="15" customHeight="1" s="86"/>
    <row r="106" ht="15" customHeight="1" s="86"/>
    <row r="107" ht="15" customHeight="1" s="86"/>
    <row r="108" ht="15" customHeight="1" s="86"/>
    <row r="109" ht="15" customHeight="1" s="86"/>
    <row r="110" ht="15" customHeight="1" s="86"/>
    <row r="111" ht="15" customHeight="1" s="86"/>
    <row r="112" ht="15" customHeight="1" s="86"/>
    <row r="113" ht="15" customHeight="1" s="86"/>
    <row r="114" ht="15" customHeight="1" s="86"/>
    <row r="115" ht="15" customHeight="1" s="86"/>
    <row r="116" ht="15" customHeight="1" s="86"/>
    <row r="117" ht="15" customHeight="1" s="86"/>
    <row r="118" ht="15" customHeight="1" s="86"/>
    <row r="119" ht="15" customHeight="1" s="86"/>
    <row r="120" ht="15" customHeight="1" s="86"/>
    <row r="121" ht="15" customHeight="1" s="86"/>
    <row r="122" ht="15" customHeight="1" s="86"/>
    <row r="123" ht="15" customHeight="1" s="86"/>
    <row r="124" ht="15" customHeight="1" s="86"/>
    <row r="125" ht="15" customHeight="1" s="86"/>
    <row r="126" ht="15" customHeight="1" s="86"/>
    <row r="127" ht="15" customHeight="1" s="86"/>
    <row r="128" ht="15" customHeight="1" s="86"/>
    <row r="129" ht="15" customHeight="1" s="86"/>
    <row r="130" ht="15" customHeight="1" s="86"/>
    <row r="131" ht="15" customHeight="1" s="86"/>
    <row r="132" ht="15" customHeight="1" s="86"/>
    <row r="133" ht="15" customHeight="1" s="86"/>
    <row r="134" ht="15" customHeight="1" s="86"/>
    <row r="135" ht="15" customHeight="1" s="86"/>
    <row r="136" ht="15" customHeight="1" s="86"/>
    <row r="137" ht="15" customHeight="1" s="86"/>
    <row r="138" ht="15" customHeight="1" s="86"/>
    <row r="139" ht="15" customHeight="1" s="86"/>
    <row r="140" ht="15" customHeight="1" s="86"/>
    <row r="141" ht="15" customHeight="1" s="86"/>
    <row r="142" ht="15" customHeight="1" s="86"/>
    <row r="143" ht="15" customHeight="1" s="86"/>
    <row r="144" ht="15" customHeight="1" s="86"/>
    <row r="145" ht="15" customHeight="1" s="86"/>
    <row r="146" ht="15" customHeight="1" s="86"/>
    <row r="147" ht="15" customHeight="1" s="86"/>
    <row r="148" ht="15" customHeight="1" s="86"/>
    <row r="149" ht="15" customHeight="1" s="86"/>
    <row r="150" ht="15" customHeight="1" s="86"/>
    <row r="151" ht="15" customHeight="1" s="86"/>
    <row r="152" ht="15" customHeight="1" s="86"/>
    <row r="153" ht="15" customHeight="1" s="86"/>
    <row r="154" ht="15" customHeight="1" s="86"/>
    <row r="155" ht="15" customHeight="1" s="86"/>
    <row r="156" ht="15" customHeight="1" s="86"/>
    <row r="157" ht="15" customHeight="1" s="86"/>
    <row r="158" ht="15" customHeight="1" s="86"/>
    <row r="159" ht="15" customHeight="1" s="86"/>
    <row r="160" ht="15" customHeight="1" s="86"/>
    <row r="161" ht="15" customHeight="1" s="86"/>
    <row r="162" ht="15" customHeight="1" s="86"/>
    <row r="163" ht="15" customHeight="1" s="86"/>
    <row r="164" ht="15" customHeight="1" s="86"/>
    <row r="165" ht="15" customHeight="1" s="86"/>
    <row r="166" ht="15" customHeight="1" s="86"/>
    <row r="167" ht="15" customHeight="1" s="86"/>
    <row r="168" ht="15" customHeight="1" s="86"/>
    <row r="169" ht="15" customHeight="1" s="86"/>
    <row r="170" ht="15" customHeight="1" s="86"/>
    <row r="171" ht="15" customHeight="1" s="86"/>
    <row r="172" ht="15" customHeight="1" s="86"/>
    <row r="173" ht="15" customHeight="1" s="86"/>
    <row r="174" ht="15" customHeight="1" s="86"/>
    <row r="175" ht="15" customHeight="1" s="86"/>
    <row r="176" ht="15" customHeight="1" s="86"/>
    <row r="177" ht="15" customHeight="1" s="86"/>
    <row r="178" ht="15" customHeight="1" s="86"/>
    <row r="179" ht="15" customHeight="1" s="86"/>
    <row r="180" ht="15" customHeight="1" s="86"/>
    <row r="181" ht="15" customHeight="1" s="86"/>
    <row r="182" ht="15" customHeight="1" s="86"/>
    <row r="183" ht="15" customHeight="1" s="86"/>
    <row r="184" ht="15" customHeight="1" s="86"/>
    <row r="185" ht="15" customHeight="1" s="86"/>
    <row r="186" ht="15" customHeight="1" s="86"/>
    <row r="187" ht="15" customHeight="1" s="86"/>
    <row r="188" ht="15" customHeight="1" s="86"/>
    <row r="189" ht="15" customHeight="1" s="86"/>
    <row r="190" ht="15" customHeight="1" s="86"/>
    <row r="191" ht="15" customHeight="1" s="86"/>
    <row r="192" ht="15" customHeight="1" s="86"/>
    <row r="193" ht="15" customHeight="1" s="86"/>
    <row r="194" ht="15" customHeight="1" s="86"/>
    <row r="195" ht="15" customHeight="1" s="86"/>
    <row r="196" ht="15" customHeight="1" s="86"/>
    <row r="197" ht="15" customHeight="1" s="86"/>
    <row r="198" ht="15" customHeight="1" s="86"/>
    <row r="199" ht="15" customHeight="1" s="86"/>
    <row r="200" ht="15" customHeight="1" s="86"/>
    <row r="201" ht="15" customHeight="1" s="86"/>
    <row r="202" ht="15" customHeight="1" s="86"/>
    <row r="203" ht="15" customHeight="1" s="86"/>
    <row r="204" ht="15" customHeight="1" s="86"/>
    <row r="205" ht="15" customHeight="1" s="86"/>
    <row r="206" ht="15" customHeight="1" s="86"/>
    <row r="207" ht="15" customHeight="1" s="86"/>
    <row r="208" ht="15" customHeight="1" s="86"/>
    <row r="209" ht="15" customHeight="1" s="86"/>
    <row r="210" ht="15" customHeight="1" s="86"/>
    <row r="211" ht="15" customHeight="1" s="86"/>
    <row r="212" ht="15" customHeight="1" s="86"/>
    <row r="213" ht="15" customHeight="1" s="86"/>
    <row r="214" ht="15" customHeight="1" s="86"/>
    <row r="215" ht="15" customHeight="1" s="86"/>
    <row r="216" ht="15" customHeight="1" s="86"/>
    <row r="217" ht="15" customHeight="1" s="86"/>
    <row r="218" ht="15" customHeight="1" s="86"/>
    <row r="219" ht="15" customHeight="1" s="86"/>
    <row r="220" ht="15" customHeight="1" s="86"/>
    <row r="221" ht="15" customHeight="1" s="86"/>
    <row r="222" ht="15" customHeight="1" s="86"/>
    <row r="223" ht="15" customHeight="1" s="86"/>
    <row r="224" ht="15" customHeight="1" s="86"/>
    <row r="225" ht="15" customHeight="1" s="86"/>
    <row r="226" ht="15" customHeight="1" s="86"/>
    <row r="227" ht="15" customHeight="1" s="86"/>
    <row r="228" ht="15" customHeight="1" s="86"/>
    <row r="229" ht="15" customHeight="1" s="86"/>
    <row r="230" ht="15" customHeight="1" s="86"/>
    <row r="231" ht="15" customHeight="1" s="86"/>
    <row r="232" ht="15" customHeight="1" s="86"/>
    <row r="233" ht="15" customHeight="1" s="86"/>
    <row r="234" ht="15" customHeight="1" s="86"/>
    <row r="235" ht="15" customHeight="1" s="86"/>
    <row r="236" ht="15" customHeight="1" s="86"/>
    <row r="237" ht="15" customHeight="1" s="86"/>
    <row r="238" ht="15" customHeight="1" s="86"/>
    <row r="239" ht="15" customHeight="1" s="86"/>
    <row r="240" ht="15" customHeight="1" s="86"/>
    <row r="241" ht="15" customHeight="1" s="86"/>
    <row r="242" ht="15" customHeight="1" s="86"/>
    <row r="243" ht="15" customHeight="1" s="86"/>
    <row r="244" ht="15" customHeight="1" s="86"/>
    <row r="245" ht="15" customHeight="1" s="86"/>
    <row r="246" ht="15" customHeight="1" s="86"/>
    <row r="247" ht="15" customHeight="1" s="86"/>
    <row r="248" ht="15" customHeight="1" s="86"/>
    <row r="249" ht="15" customHeight="1" s="86"/>
    <row r="250" ht="15" customHeight="1" s="86"/>
    <row r="251" ht="15" customHeight="1" s="86"/>
    <row r="252" ht="15" customHeight="1" s="86"/>
    <row r="253" ht="15" customHeight="1" s="86"/>
    <row r="254" ht="15" customHeight="1" s="86"/>
    <row r="255" ht="15" customHeight="1" s="86"/>
    <row r="256" ht="15" customHeight="1" s="86"/>
    <row r="257" ht="15" customHeight="1" s="86"/>
    <row r="258" ht="15" customHeight="1" s="86"/>
    <row r="259" ht="15" customHeight="1" s="86"/>
    <row r="260" ht="15" customHeight="1" s="86"/>
    <row r="261" ht="15" customHeight="1" s="86"/>
    <row r="262" ht="15" customHeight="1" s="86"/>
    <row r="263" ht="15" customHeight="1" s="86"/>
    <row r="264" ht="15" customHeight="1" s="86"/>
    <row r="265" ht="15" customHeight="1" s="86"/>
    <row r="266" ht="15" customHeight="1" s="86"/>
    <row r="267" ht="15" customHeight="1" s="86"/>
    <row r="268" ht="15" customHeight="1" s="86"/>
    <row r="269" ht="15" customHeight="1" s="86"/>
    <row r="270" ht="15" customHeight="1" s="86"/>
    <row r="271" ht="15" customHeight="1" s="86"/>
    <row r="272" ht="15" customHeight="1" s="86"/>
    <row r="273" ht="15" customHeight="1" s="86"/>
    <row r="274" ht="15" customHeight="1" s="86"/>
    <row r="275" ht="15" customHeight="1" s="86"/>
    <row r="276" ht="15" customHeight="1" s="86"/>
    <row r="277" ht="15" customHeight="1" s="86"/>
    <row r="278" ht="15" customHeight="1" s="86"/>
    <row r="279" ht="15" customHeight="1" s="86"/>
    <row r="280" ht="15" customHeight="1" s="86"/>
    <row r="281" ht="15" customHeight="1" s="86"/>
    <row r="282" ht="15" customHeight="1" s="86"/>
    <row r="283" ht="15" customHeight="1" s="86"/>
    <row r="284" ht="15" customHeight="1" s="86"/>
    <row r="285" ht="15" customHeight="1" s="86"/>
    <row r="286" ht="15" customHeight="1" s="86"/>
    <row r="287" ht="15" customHeight="1" s="86"/>
    <row r="288" ht="15" customHeight="1" s="86"/>
    <row r="289" ht="15" customHeight="1" s="86"/>
    <row r="290" ht="15" customHeight="1" s="86"/>
    <row r="291" ht="15" customHeight="1" s="86"/>
    <row r="292" ht="15" customHeight="1" s="86"/>
    <row r="293" ht="15" customHeight="1" s="86"/>
    <row r="294" ht="15" customHeight="1" s="86"/>
    <row r="295" ht="15" customHeight="1" s="86"/>
    <row r="296" ht="15" customHeight="1" s="86"/>
    <row r="297" ht="15" customHeight="1" s="86"/>
    <row r="298" ht="15" customHeight="1" s="86"/>
    <row r="299" ht="15" customHeight="1" s="86"/>
    <row r="300" ht="15" customHeight="1" s="86"/>
    <row r="301" ht="15" customHeight="1" s="86"/>
    <row r="302" ht="15" customHeight="1" s="86"/>
    <row r="303" ht="15" customHeight="1" s="86"/>
    <row r="304" ht="15" customHeight="1" s="86"/>
    <row r="305" ht="15" customHeight="1" s="86"/>
    <row r="306" ht="15" customHeight="1" s="86"/>
    <row r="307" ht="15" customHeight="1" s="86"/>
    <row r="308" ht="15" customHeight="1" s="86"/>
    <row r="309" ht="15" customHeight="1" s="86"/>
    <row r="310" ht="15" customHeight="1" s="86"/>
    <row r="311" ht="15" customHeight="1" s="86"/>
    <row r="312" ht="15" customHeight="1" s="86"/>
    <row r="313" ht="15" customHeight="1" s="86"/>
    <row r="314" ht="15" customHeight="1" s="86"/>
    <row r="315" ht="15" customHeight="1" s="86"/>
    <row r="316" ht="15" customHeight="1" s="86"/>
    <row r="317" ht="15" customHeight="1" s="86"/>
    <row r="318" ht="15" customHeight="1" s="86"/>
    <row r="319" ht="15" customHeight="1" s="86"/>
    <row r="320" ht="15" customHeight="1" s="86"/>
    <row r="321" ht="15" customHeight="1" s="86"/>
    <row r="322" ht="15" customHeight="1" s="86"/>
    <row r="323" ht="15" customHeight="1" s="86"/>
    <row r="324" ht="15" customHeight="1" s="86"/>
    <row r="325" ht="15" customHeight="1" s="86"/>
    <row r="326" ht="15" customHeight="1" s="86"/>
    <row r="327" ht="15" customHeight="1" s="86"/>
    <row r="328" ht="15" customHeight="1" s="86"/>
    <row r="329" ht="15" customHeight="1" s="86"/>
    <row r="330" ht="15" customHeight="1" s="86"/>
    <row r="331" ht="15" customHeight="1" s="86"/>
    <row r="332" ht="15" customHeight="1" s="86"/>
    <row r="333" ht="15" customHeight="1" s="86"/>
    <row r="334" ht="15" customHeight="1" s="86"/>
    <row r="335" ht="15" customHeight="1" s="86"/>
    <row r="336" ht="15" customHeight="1" s="86"/>
    <row r="337" ht="15" customHeight="1" s="86"/>
    <row r="338" ht="15" customHeight="1" s="86"/>
    <row r="339" ht="15" customHeight="1" s="86"/>
    <row r="340" ht="15" customHeight="1" s="86"/>
    <row r="341" ht="15" customHeight="1" s="86"/>
    <row r="342" ht="15" customHeight="1" s="86"/>
    <row r="343" ht="15" customHeight="1" s="86"/>
    <row r="344" ht="15" customHeight="1" s="86"/>
    <row r="345" ht="15" customHeight="1" s="86"/>
    <row r="346" ht="15" customHeight="1" s="86"/>
    <row r="347" ht="15" customHeight="1" s="86"/>
    <row r="348" ht="15" customHeight="1" s="86"/>
    <row r="349" ht="15" customHeight="1" s="86"/>
    <row r="350" ht="15" customHeight="1" s="86"/>
    <row r="351" ht="15" customHeight="1" s="86"/>
    <row r="352" ht="15" customHeight="1" s="86"/>
    <row r="353" ht="15" customHeight="1" s="86"/>
    <row r="354" ht="15" customHeight="1" s="86"/>
    <row r="355" ht="15" customHeight="1" s="86"/>
    <row r="356" ht="15" customHeight="1" s="86"/>
    <row r="357" ht="15" customHeight="1" s="86"/>
    <row r="358" ht="15" customHeight="1" s="86"/>
    <row r="359" ht="15" customHeight="1" s="86"/>
    <row r="360" ht="15" customHeight="1" s="86"/>
    <row r="361" ht="15" customHeight="1" s="86"/>
    <row r="362" ht="15" customHeight="1" s="86"/>
    <row r="363" ht="15" customHeight="1" s="86"/>
    <row r="364" ht="15" customHeight="1" s="86"/>
    <row r="365" ht="15" customHeight="1" s="86"/>
    <row r="366" ht="15" customHeight="1" s="86"/>
    <row r="367" ht="15" customHeight="1" s="86"/>
    <row r="368" ht="15" customHeight="1" s="86"/>
    <row r="369" ht="15" customHeight="1" s="86"/>
    <row r="370" ht="15" customHeight="1" s="86"/>
    <row r="371" ht="15" customHeight="1" s="86"/>
    <row r="372" ht="15" customHeight="1" s="86"/>
    <row r="373" ht="15" customHeight="1" s="86"/>
    <row r="374" ht="15" customHeight="1" s="86"/>
    <row r="375" ht="15" customHeight="1" s="86"/>
    <row r="376" ht="15" customHeight="1" s="86"/>
    <row r="377" ht="15" customHeight="1" s="86"/>
    <row r="378" ht="15" customHeight="1" s="86"/>
    <row r="379" ht="15" customHeight="1" s="86"/>
    <row r="380" ht="15" customHeight="1" s="86"/>
    <row r="381" ht="15" customHeight="1" s="86"/>
    <row r="382" ht="15" customHeight="1" s="86"/>
    <row r="383" ht="15" customHeight="1" s="86"/>
    <row r="384" ht="15" customHeight="1" s="86"/>
    <row r="385" ht="15" customHeight="1" s="86"/>
    <row r="386" ht="15" customHeight="1" s="86"/>
    <row r="387" ht="15" customHeight="1" s="86"/>
    <row r="388" ht="15" customHeight="1" s="86"/>
    <row r="389" ht="15" customHeight="1" s="86"/>
    <row r="390" ht="15" customHeight="1" s="86"/>
    <row r="391" ht="15" customHeight="1" s="86"/>
    <row r="392" ht="15" customHeight="1" s="86"/>
    <row r="393" ht="15" customHeight="1" s="86"/>
    <row r="394" ht="15" customHeight="1" s="86"/>
    <row r="395" ht="15" customHeight="1" s="86"/>
    <row r="396" ht="15" customHeight="1" s="86"/>
    <row r="397" ht="15" customHeight="1" s="86"/>
    <row r="398" ht="15" customHeight="1" s="86"/>
    <row r="399" ht="15" customHeight="1" s="86"/>
    <row r="400" ht="15" customHeight="1" s="86"/>
    <row r="401" ht="15" customHeight="1" s="86"/>
    <row r="402" ht="15" customHeight="1" s="86"/>
    <row r="403" ht="15" customHeight="1" s="86"/>
    <row r="404" ht="15" customHeight="1" s="86"/>
    <row r="405" ht="15" customHeight="1" s="86"/>
    <row r="406" ht="15" customHeight="1" s="86"/>
    <row r="407" ht="15" customHeight="1" s="86"/>
    <row r="408" ht="15" customHeight="1" s="86"/>
    <row r="409" ht="15" customHeight="1" s="86"/>
    <row r="410" ht="15" customHeight="1" s="86"/>
    <row r="411" ht="15" customHeight="1" s="86"/>
    <row r="412" ht="15" customHeight="1" s="86"/>
    <row r="413" ht="15" customHeight="1" s="86"/>
    <row r="414" ht="15" customHeight="1" s="86"/>
    <row r="415" ht="15" customHeight="1" s="86"/>
    <row r="416" ht="15" customHeight="1" s="86"/>
    <row r="417" ht="15" customHeight="1" s="86"/>
    <row r="418" ht="15" customHeight="1" s="86"/>
    <row r="419" ht="15" customHeight="1" s="86"/>
    <row r="420" ht="15" customHeight="1" s="86"/>
    <row r="421" ht="15" customHeight="1" s="86"/>
    <row r="422" ht="15" customHeight="1" s="86"/>
    <row r="423" ht="15" customHeight="1" s="86"/>
    <row r="424" ht="15" customHeight="1" s="86"/>
    <row r="425" ht="15" customHeight="1" s="86"/>
    <row r="426" ht="15" customHeight="1" s="86"/>
    <row r="427" ht="15" customHeight="1" s="86"/>
    <row r="428" ht="15" customHeight="1" s="86"/>
    <row r="429" ht="15" customHeight="1" s="86"/>
    <row r="430" ht="15" customHeight="1" s="86"/>
    <row r="431" ht="15" customHeight="1" s="86"/>
    <row r="432" ht="15" customHeight="1" s="86"/>
    <row r="433" ht="15" customHeight="1" s="86"/>
    <row r="434" ht="15" customHeight="1" s="86"/>
    <row r="435" ht="15" customHeight="1" s="86"/>
    <row r="436" ht="15" customHeight="1" s="86"/>
    <row r="437" ht="15" customHeight="1" s="86"/>
    <row r="438" ht="15" customHeight="1" s="86"/>
    <row r="439" ht="15" customHeight="1" s="86"/>
    <row r="440" ht="15" customHeight="1" s="86"/>
    <row r="441" ht="15" customHeight="1" s="86"/>
    <row r="442" ht="15" customHeight="1" s="86"/>
    <row r="443" ht="15" customHeight="1" s="86"/>
    <row r="444" ht="15" customHeight="1" s="86"/>
    <row r="445" ht="15" customHeight="1" s="86"/>
    <row r="446" ht="15" customHeight="1" s="86"/>
    <row r="447" ht="15" customHeight="1" s="86"/>
    <row r="448" ht="15" customHeight="1" s="86"/>
    <row r="449" ht="15" customHeight="1" s="86"/>
    <row r="450" ht="15" customHeight="1" s="86"/>
    <row r="451" ht="15" customHeight="1" s="86"/>
    <row r="452" ht="15" customHeight="1" s="86"/>
    <row r="453" ht="15" customHeight="1" s="86"/>
    <row r="454" ht="15" customHeight="1" s="86"/>
    <row r="455" ht="15" customHeight="1" s="86"/>
    <row r="456" ht="15" customHeight="1" s="86"/>
    <row r="457" ht="15" customHeight="1" s="86"/>
    <row r="458" ht="15" customHeight="1" s="86"/>
    <row r="459" ht="15" customHeight="1" s="86"/>
    <row r="460" ht="15" customHeight="1" s="86"/>
    <row r="461" ht="15" customHeight="1" s="86"/>
    <row r="462" ht="15" customHeight="1" s="86"/>
    <row r="463" ht="15" customHeight="1" s="86"/>
    <row r="464" ht="15" customHeight="1" s="86"/>
    <row r="465" ht="15" customHeight="1" s="86"/>
    <row r="466" ht="15" customHeight="1" s="86"/>
    <row r="467" ht="15" customHeight="1" s="86"/>
    <row r="468" ht="15" customHeight="1" s="86"/>
    <row r="469" ht="15" customHeight="1" s="86"/>
    <row r="470" ht="15" customHeight="1" s="86"/>
    <row r="471" ht="15" customHeight="1" s="86"/>
    <row r="472" ht="15" customHeight="1" s="86"/>
    <row r="473" ht="15" customHeight="1" s="86"/>
    <row r="474" ht="15" customHeight="1" s="86"/>
    <row r="475" ht="15" customHeight="1" s="86"/>
    <row r="476" ht="15" customHeight="1" s="86"/>
    <row r="477" ht="15" customHeight="1" s="86"/>
    <row r="478" ht="15" customHeight="1" s="86"/>
    <row r="479" ht="15" customHeight="1" s="86"/>
    <row r="480" ht="15" customHeight="1" s="86"/>
    <row r="481" ht="15" customHeight="1" s="86"/>
    <row r="482" ht="15" customHeight="1" s="86"/>
    <row r="483" ht="15" customHeight="1" s="86"/>
    <row r="484" ht="15" customHeight="1" s="86"/>
    <row r="485" ht="15" customHeight="1" s="86"/>
    <row r="486" ht="15" customHeight="1" s="86"/>
    <row r="487" ht="15" customHeight="1" s="86"/>
    <row r="488" ht="15" customHeight="1" s="86"/>
    <row r="489" ht="15" customHeight="1" s="86"/>
    <row r="490" ht="15" customHeight="1" s="86"/>
    <row r="491" ht="15" customHeight="1" s="86"/>
    <row r="492" ht="15" customHeight="1" s="86"/>
    <row r="493" ht="15" customHeight="1" s="86"/>
    <row r="494" ht="15" customHeight="1" s="86"/>
    <row r="495" ht="15" customHeight="1" s="86"/>
    <row r="496" ht="15" customHeight="1" s="86"/>
    <row r="497" ht="15" customHeight="1" s="86"/>
    <row r="498" ht="15" customHeight="1" s="86"/>
    <row r="499" ht="15" customHeight="1" s="86"/>
    <row r="500" ht="15" customHeight="1" s="86"/>
    <row r="501" ht="15" customHeight="1" s="86"/>
    <row r="502" ht="15" customHeight="1" s="86"/>
    <row r="503" ht="15" customHeight="1" s="86"/>
    <row r="504" ht="15" customHeight="1" s="86"/>
    <row r="505" ht="15" customHeight="1" s="86"/>
    <row r="506" ht="15" customHeight="1" s="86"/>
    <row r="507" ht="15" customHeight="1" s="86"/>
    <row r="508" ht="15" customHeight="1" s="86"/>
    <row r="509" ht="15" customHeight="1" s="86"/>
    <row r="510" ht="15" customHeight="1" s="86"/>
    <row r="511" ht="15" customHeight="1" s="86"/>
    <row r="512" ht="15" customHeight="1" s="86"/>
    <row r="513" ht="15" customHeight="1" s="86"/>
    <row r="514" ht="15" customHeight="1" s="86"/>
    <row r="515" ht="15" customHeight="1" s="86"/>
    <row r="516" ht="15" customHeight="1" s="86"/>
    <row r="517" ht="15" customHeight="1" s="86"/>
    <row r="518" ht="15" customHeight="1" s="86"/>
    <row r="519" ht="15" customHeight="1" s="86"/>
    <row r="520" ht="15" customHeight="1" s="86"/>
    <row r="521" ht="15" customHeight="1" s="86"/>
    <row r="522" ht="15" customHeight="1" s="86"/>
    <row r="523" ht="15" customHeight="1" s="86"/>
    <row r="524" ht="15" customHeight="1" s="86"/>
    <row r="525" ht="15" customHeight="1" s="86"/>
    <row r="526" ht="15" customHeight="1" s="86"/>
    <row r="527" ht="15" customHeight="1" s="86"/>
    <row r="528" ht="15" customHeight="1" s="86"/>
    <row r="529" ht="15" customHeight="1" s="86"/>
    <row r="530" ht="15" customHeight="1" s="86"/>
    <row r="531" ht="15" customHeight="1" s="86"/>
    <row r="532" ht="15" customHeight="1" s="86"/>
    <row r="533" ht="15" customHeight="1" s="86"/>
    <row r="534" ht="15" customHeight="1" s="86"/>
    <row r="535" ht="15" customHeight="1" s="86"/>
    <row r="536" ht="15" customHeight="1" s="86"/>
    <row r="537" ht="15" customHeight="1" s="86"/>
    <row r="538" ht="15" customHeight="1" s="86"/>
    <row r="539" ht="15" customHeight="1" s="86"/>
    <row r="540" ht="15" customHeight="1" s="86"/>
    <row r="541" ht="15" customHeight="1" s="86"/>
    <row r="542" ht="15" customHeight="1" s="86"/>
    <row r="543" ht="15" customHeight="1" s="86"/>
    <row r="544" ht="15" customHeight="1" s="86"/>
    <row r="545" ht="15" customHeight="1" s="86"/>
    <row r="546" ht="15" customHeight="1" s="86"/>
    <row r="547" ht="15" customHeight="1" s="86"/>
    <row r="548" ht="15" customHeight="1" s="86"/>
    <row r="549" ht="15" customHeight="1" s="86"/>
    <row r="550" ht="15" customHeight="1" s="86"/>
    <row r="551" ht="15" customHeight="1" s="86"/>
    <row r="552" ht="15" customHeight="1" s="86"/>
    <row r="553" ht="15" customHeight="1" s="86"/>
    <row r="554" ht="15" customHeight="1" s="86"/>
    <row r="555" ht="15" customHeight="1" s="86"/>
    <row r="556" ht="15" customHeight="1" s="86"/>
    <row r="557" ht="15" customHeight="1" s="86"/>
    <row r="558" ht="15" customHeight="1" s="86"/>
    <row r="559" ht="15" customHeight="1" s="86"/>
    <row r="560" ht="15" customHeight="1" s="86"/>
    <row r="561" ht="15" customHeight="1" s="86"/>
    <row r="562" ht="15" customHeight="1" s="86"/>
    <row r="563" ht="15" customHeight="1" s="86"/>
    <row r="564" ht="15" customHeight="1" s="86"/>
    <row r="565" ht="15" customHeight="1" s="86"/>
    <row r="566" ht="15" customHeight="1" s="86"/>
    <row r="567" ht="15" customHeight="1" s="86"/>
    <row r="568" ht="15" customHeight="1" s="86"/>
    <row r="569" ht="15" customHeight="1" s="86"/>
    <row r="570" ht="15" customHeight="1" s="86"/>
    <row r="571" ht="15" customHeight="1" s="86"/>
    <row r="572" ht="15" customHeight="1" s="86"/>
    <row r="573" ht="15" customHeight="1" s="86"/>
    <row r="574" ht="15" customHeight="1" s="86"/>
    <row r="575" ht="15" customHeight="1" s="86"/>
    <row r="576" ht="15" customHeight="1" s="86"/>
    <row r="577" ht="15" customHeight="1" s="86"/>
    <row r="578" ht="15" customHeight="1" s="86"/>
    <row r="579" ht="15" customHeight="1" s="86"/>
    <row r="580" ht="15" customHeight="1" s="86"/>
    <row r="581" ht="15" customHeight="1" s="86"/>
    <row r="582" ht="15" customHeight="1" s="86"/>
    <row r="583" ht="15" customHeight="1" s="86"/>
    <row r="584" ht="15" customHeight="1" s="86"/>
    <row r="585" ht="15" customHeight="1" s="86"/>
    <row r="586" ht="15" customHeight="1" s="86"/>
    <row r="587" ht="15" customHeight="1" s="86"/>
    <row r="588" ht="15" customHeight="1" s="86"/>
    <row r="589" ht="15" customHeight="1" s="86"/>
    <row r="590" ht="15" customHeight="1" s="86"/>
    <row r="591" ht="15" customHeight="1" s="86"/>
    <row r="592" ht="15" customHeight="1" s="86"/>
    <row r="593" ht="15" customHeight="1" s="86"/>
    <row r="594" ht="15" customHeight="1" s="86"/>
    <row r="595" ht="15" customHeight="1" s="86"/>
    <row r="596" ht="15" customHeight="1" s="86"/>
    <row r="597" ht="15" customHeight="1" s="86"/>
    <row r="598" ht="15" customHeight="1" s="86"/>
    <row r="599" ht="15" customHeight="1" s="86"/>
    <row r="600" ht="15" customHeight="1" s="86"/>
    <row r="601" ht="15" customHeight="1" s="86"/>
    <row r="602" ht="15" customHeight="1" s="86"/>
    <row r="603" ht="15" customHeight="1" s="86"/>
    <row r="604" ht="15" customHeight="1" s="86"/>
    <row r="605" ht="15" customHeight="1" s="86"/>
    <row r="606" ht="15" customHeight="1" s="86"/>
    <row r="607" ht="15" customHeight="1" s="86"/>
    <row r="608" ht="15" customHeight="1" s="86"/>
    <row r="609" ht="15" customHeight="1" s="86"/>
    <row r="610" ht="15" customHeight="1" s="86"/>
    <row r="611" ht="15" customHeight="1" s="86"/>
    <row r="612" ht="15" customHeight="1" s="86"/>
    <row r="613" ht="15" customHeight="1" s="86"/>
    <row r="614" ht="15" customHeight="1" s="86"/>
    <row r="615" ht="15" customHeight="1" s="86"/>
    <row r="616" ht="15" customHeight="1" s="86"/>
    <row r="617" ht="15" customHeight="1" s="86"/>
    <row r="618" ht="15" customHeight="1" s="86"/>
    <row r="619" ht="15" customHeight="1" s="86"/>
    <row r="620" ht="15" customHeight="1" s="86"/>
    <row r="621" ht="15" customHeight="1" s="86"/>
    <row r="622" ht="15" customHeight="1" s="86"/>
    <row r="623" ht="15" customHeight="1" s="86"/>
    <row r="624" ht="15" customHeight="1" s="86"/>
    <row r="625" ht="15" customHeight="1" s="86"/>
    <row r="626" ht="15" customHeight="1" s="86"/>
    <row r="627" ht="15" customHeight="1" s="86"/>
    <row r="628" ht="15" customHeight="1" s="86"/>
    <row r="629" ht="15" customHeight="1" s="86"/>
    <row r="630" ht="15" customHeight="1" s="86"/>
    <row r="631" ht="15" customHeight="1" s="86"/>
    <row r="632" ht="15" customHeight="1" s="86"/>
    <row r="633" ht="15" customHeight="1" s="86"/>
    <row r="634" ht="15" customHeight="1" s="86"/>
    <row r="635" ht="15" customHeight="1" s="86"/>
    <row r="636" ht="15" customHeight="1" s="86"/>
    <row r="637" ht="15" customHeight="1" s="86"/>
    <row r="638" ht="15" customHeight="1" s="86"/>
    <row r="639" ht="15" customHeight="1" s="86"/>
    <row r="640" ht="15" customHeight="1" s="86"/>
    <row r="641" ht="15" customHeight="1" s="86"/>
    <row r="642" ht="15" customHeight="1" s="86"/>
    <row r="643" ht="15" customHeight="1" s="86"/>
    <row r="644" ht="15" customHeight="1" s="86"/>
    <row r="645" ht="15" customHeight="1" s="86"/>
    <row r="646" ht="15" customHeight="1" s="86"/>
    <row r="647" ht="15" customHeight="1" s="86"/>
    <row r="648" ht="15" customHeight="1" s="86"/>
    <row r="649" ht="15" customHeight="1" s="86"/>
    <row r="650" ht="15" customHeight="1" s="86"/>
    <row r="651" ht="15" customHeight="1" s="86"/>
    <row r="652" ht="15" customHeight="1" s="86"/>
    <row r="653" ht="15" customHeight="1" s="86"/>
    <row r="654" ht="15" customHeight="1" s="86"/>
    <row r="655" ht="15" customHeight="1" s="86"/>
    <row r="656" ht="15" customHeight="1" s="86"/>
    <row r="657" ht="15" customHeight="1" s="86"/>
    <row r="658" ht="15" customHeight="1" s="86"/>
    <row r="659" ht="15" customHeight="1" s="86"/>
    <row r="660" ht="15" customHeight="1" s="86"/>
    <row r="661" ht="15" customHeight="1" s="86"/>
    <row r="662" ht="15" customHeight="1" s="86"/>
    <row r="663" ht="15" customHeight="1" s="86"/>
    <row r="664" ht="15" customHeight="1" s="86"/>
    <row r="665" ht="15" customHeight="1" s="86"/>
    <row r="666" ht="15" customHeight="1" s="86"/>
    <row r="667" ht="15" customHeight="1" s="86"/>
    <row r="668" ht="15" customHeight="1" s="86"/>
    <row r="669" ht="15" customHeight="1" s="86"/>
    <row r="670" ht="15" customHeight="1" s="86"/>
    <row r="671" ht="15" customHeight="1" s="86"/>
    <row r="672" ht="15" customHeight="1" s="86"/>
    <row r="673" ht="15" customHeight="1" s="86"/>
    <row r="674" ht="15" customHeight="1" s="86"/>
    <row r="675" ht="15" customHeight="1" s="86"/>
    <row r="676" ht="15" customHeight="1" s="86"/>
    <row r="677" ht="15" customHeight="1" s="86"/>
    <row r="678" ht="15" customHeight="1" s="86"/>
    <row r="679" ht="15" customHeight="1" s="86"/>
    <row r="680" ht="15" customHeight="1" s="86"/>
    <row r="681" ht="15" customHeight="1" s="86"/>
    <row r="682" ht="15" customHeight="1" s="86"/>
    <row r="683" ht="15" customHeight="1" s="86"/>
    <row r="684" ht="15" customHeight="1" s="86"/>
    <row r="685" ht="15" customHeight="1" s="86"/>
    <row r="686" ht="15" customHeight="1" s="86"/>
    <row r="687" ht="15" customHeight="1" s="86"/>
    <row r="688" ht="15" customHeight="1" s="86"/>
    <row r="689" ht="15" customHeight="1" s="86"/>
    <row r="690" ht="15" customHeight="1" s="86"/>
    <row r="691" ht="15" customHeight="1" s="86"/>
    <row r="692" ht="15" customHeight="1" s="86"/>
    <row r="693" ht="15" customHeight="1" s="86"/>
    <row r="694" ht="15" customHeight="1" s="86"/>
    <row r="695" ht="15" customHeight="1" s="86"/>
    <row r="696" ht="15" customHeight="1" s="86"/>
    <row r="697" ht="15" customHeight="1" s="86"/>
    <row r="698" ht="15" customHeight="1" s="86"/>
    <row r="699" ht="15" customHeight="1" s="86"/>
    <row r="700" ht="15" customHeight="1" s="86"/>
    <row r="701" ht="15" customHeight="1" s="86"/>
    <row r="702" ht="15" customHeight="1" s="86"/>
    <row r="703" ht="15" customHeight="1" s="86"/>
    <row r="704" ht="15" customHeight="1" s="86"/>
    <row r="705" ht="15" customHeight="1" s="86"/>
    <row r="706" ht="15" customHeight="1" s="86"/>
    <row r="707" ht="15" customHeight="1" s="86"/>
    <row r="708" ht="15" customHeight="1" s="86"/>
    <row r="709" ht="15" customHeight="1" s="86"/>
    <row r="710" ht="15" customHeight="1" s="86"/>
    <row r="711" ht="15" customHeight="1" s="86"/>
    <row r="712" ht="15" customHeight="1" s="86"/>
    <row r="713" ht="15" customHeight="1" s="86"/>
    <row r="714" ht="15" customHeight="1" s="86"/>
    <row r="715" ht="15" customHeight="1" s="86"/>
    <row r="716" ht="15" customHeight="1" s="86"/>
    <row r="717" ht="15" customHeight="1" s="86"/>
    <row r="718" ht="15" customHeight="1" s="86"/>
    <row r="719" ht="15" customHeight="1" s="86"/>
    <row r="720" ht="15" customHeight="1" s="86"/>
    <row r="721" ht="15" customHeight="1" s="86"/>
    <row r="722" ht="15" customHeight="1" s="86"/>
    <row r="723" ht="15" customHeight="1" s="86"/>
    <row r="724" ht="15" customHeight="1" s="86"/>
    <row r="725" ht="15" customHeight="1" s="86"/>
    <row r="726" ht="15" customHeight="1" s="86"/>
    <row r="727" ht="15" customHeight="1" s="86"/>
    <row r="728" ht="15" customHeight="1" s="86"/>
    <row r="729" ht="15" customHeight="1" s="86"/>
    <row r="730" ht="15" customHeight="1" s="86"/>
    <row r="731" ht="15" customHeight="1" s="86"/>
    <row r="732" ht="15" customHeight="1" s="86"/>
    <row r="733" ht="15" customHeight="1" s="86"/>
    <row r="734" ht="15" customHeight="1" s="86"/>
    <row r="735" ht="15" customHeight="1" s="86"/>
    <row r="736" ht="15" customHeight="1" s="86"/>
    <row r="737" ht="15" customHeight="1" s="86"/>
    <row r="738" ht="15" customHeight="1" s="86"/>
    <row r="739" ht="15" customHeight="1" s="86"/>
    <row r="740" ht="15" customHeight="1" s="86"/>
    <row r="741" ht="15" customHeight="1" s="86"/>
    <row r="742" ht="15" customHeight="1" s="86"/>
    <row r="743" ht="15" customHeight="1" s="86"/>
    <row r="744" ht="15" customHeight="1" s="86"/>
    <row r="745" ht="15" customHeight="1" s="86"/>
    <row r="746" ht="15" customHeight="1" s="86"/>
    <row r="747" ht="15" customHeight="1" s="86"/>
    <row r="748" ht="15" customHeight="1" s="86"/>
    <row r="749" ht="15" customHeight="1" s="86"/>
    <row r="750" ht="15" customHeight="1" s="86"/>
    <row r="751" ht="15" customHeight="1" s="86"/>
    <row r="752" ht="15" customHeight="1" s="86"/>
    <row r="753" ht="15" customHeight="1" s="86"/>
    <row r="754" ht="15" customHeight="1" s="86"/>
    <row r="755" ht="15" customHeight="1" s="86"/>
    <row r="756" ht="15" customHeight="1" s="86"/>
    <row r="757" ht="15" customHeight="1" s="86"/>
    <row r="758" ht="15" customHeight="1" s="86"/>
    <row r="759" ht="15" customHeight="1" s="86"/>
    <row r="760" ht="15" customHeight="1" s="86"/>
    <row r="761" ht="15" customHeight="1" s="86"/>
    <row r="762" ht="15" customHeight="1" s="86"/>
    <row r="763" ht="15" customHeight="1" s="86"/>
    <row r="764" ht="15" customHeight="1" s="86"/>
    <row r="765" ht="15" customHeight="1" s="86"/>
    <row r="766" ht="15" customHeight="1" s="86"/>
    <row r="767" ht="15" customHeight="1" s="86"/>
    <row r="768" ht="15" customHeight="1" s="86"/>
    <row r="769" ht="15" customHeight="1" s="86"/>
    <row r="770" ht="15" customHeight="1" s="86"/>
    <row r="771" ht="15" customHeight="1" s="86"/>
    <row r="772" ht="15" customHeight="1" s="86"/>
    <row r="773" ht="15" customHeight="1" s="86"/>
    <row r="774" ht="15" customHeight="1" s="86"/>
    <row r="775" ht="15" customHeight="1" s="86"/>
    <row r="776" ht="15" customHeight="1" s="86"/>
    <row r="777" ht="15" customHeight="1" s="86"/>
    <row r="778" ht="15" customHeight="1" s="86"/>
    <row r="779" ht="15" customHeight="1" s="86"/>
    <row r="780" ht="15" customHeight="1" s="86"/>
    <row r="781" ht="15" customHeight="1" s="86"/>
    <row r="782" ht="15" customHeight="1" s="86"/>
    <row r="783" ht="15" customHeight="1" s="86"/>
    <row r="784" ht="15" customHeight="1" s="86"/>
    <row r="785" ht="15" customHeight="1" s="86"/>
    <row r="786" ht="15" customHeight="1" s="86"/>
    <row r="787" ht="15" customHeight="1" s="86"/>
    <row r="788" ht="15" customHeight="1" s="86"/>
    <row r="789" ht="15" customHeight="1" s="86"/>
    <row r="790" ht="15" customHeight="1" s="86"/>
    <row r="791" ht="15" customHeight="1" s="86"/>
    <row r="792" ht="15" customHeight="1" s="86"/>
    <row r="793" ht="15" customHeight="1" s="86"/>
    <row r="794" ht="15" customHeight="1" s="86"/>
    <row r="795" ht="15" customHeight="1" s="86"/>
    <row r="796" ht="15" customHeight="1" s="86"/>
    <row r="797" ht="15" customHeight="1" s="86"/>
    <row r="798" ht="15" customHeight="1" s="86"/>
    <row r="799" ht="15" customHeight="1" s="86"/>
    <row r="800" ht="15" customHeight="1" s="86"/>
    <row r="801" ht="15" customHeight="1" s="86"/>
    <row r="802" ht="15" customHeight="1" s="86"/>
    <row r="803" ht="15" customHeight="1" s="86"/>
    <row r="804" ht="15" customHeight="1" s="86"/>
    <row r="805" ht="15" customHeight="1" s="86"/>
    <row r="806" ht="15" customHeight="1" s="86"/>
    <row r="807" ht="15" customHeight="1" s="86"/>
    <row r="808" ht="15" customHeight="1" s="86"/>
    <row r="809" ht="15" customHeight="1" s="86"/>
    <row r="810" ht="15" customHeight="1" s="86"/>
    <row r="811" ht="15" customHeight="1" s="86"/>
    <row r="812" ht="15" customHeight="1" s="86"/>
    <row r="813" ht="15" customHeight="1" s="86"/>
    <row r="814" ht="15" customHeight="1" s="86"/>
    <row r="815" ht="15" customHeight="1" s="86"/>
    <row r="816" ht="15" customHeight="1" s="86"/>
    <row r="817" ht="15" customHeight="1" s="86"/>
    <row r="818" ht="15" customHeight="1" s="86"/>
    <row r="819" ht="15" customHeight="1" s="86"/>
    <row r="820" ht="15" customHeight="1" s="86"/>
    <row r="821" ht="15" customHeight="1" s="86"/>
    <row r="822" ht="15" customHeight="1" s="86"/>
    <row r="823" ht="15" customHeight="1" s="86"/>
    <row r="824" ht="15" customHeight="1" s="86"/>
    <row r="825" ht="15" customHeight="1" s="86"/>
    <row r="826" ht="15" customHeight="1" s="86"/>
    <row r="827" ht="15" customHeight="1" s="86"/>
    <row r="828" ht="15" customHeight="1" s="86"/>
    <row r="829" ht="15" customHeight="1" s="86"/>
    <row r="830" ht="15" customHeight="1" s="86"/>
    <row r="831" ht="15" customHeight="1" s="86"/>
    <row r="832" ht="15" customHeight="1" s="86"/>
    <row r="833" ht="15" customHeight="1" s="86"/>
    <row r="834" ht="15" customHeight="1" s="86"/>
    <row r="835" ht="15" customHeight="1" s="86"/>
    <row r="836" ht="15" customHeight="1" s="86"/>
    <row r="837" ht="15" customHeight="1" s="86"/>
    <row r="838" ht="15" customHeight="1" s="86"/>
    <row r="839" ht="15" customHeight="1" s="86"/>
    <row r="840" ht="15" customHeight="1" s="86"/>
    <row r="841" ht="15" customHeight="1" s="86"/>
    <row r="842" ht="15" customHeight="1" s="86"/>
    <row r="843" ht="15" customHeight="1" s="86"/>
    <row r="844" ht="15" customHeight="1" s="86"/>
    <row r="845" ht="15" customHeight="1" s="86"/>
    <row r="846" ht="15" customHeight="1" s="86"/>
    <row r="847" ht="15" customHeight="1" s="86"/>
    <row r="848" ht="15" customHeight="1" s="86"/>
    <row r="849" ht="15" customHeight="1" s="86"/>
    <row r="850" ht="15" customHeight="1" s="86"/>
    <row r="851" ht="15" customHeight="1" s="86"/>
    <row r="852" ht="15" customHeight="1" s="86"/>
    <row r="853" ht="15" customHeight="1" s="86"/>
    <row r="854" ht="15" customHeight="1" s="86"/>
    <row r="855" ht="15" customHeight="1" s="86"/>
    <row r="856" ht="15" customHeight="1" s="86"/>
    <row r="857" ht="15" customHeight="1" s="86"/>
    <row r="858" ht="15" customHeight="1" s="86"/>
    <row r="859" ht="15" customHeight="1" s="86"/>
    <row r="860" ht="15" customHeight="1" s="86"/>
    <row r="861" ht="15" customHeight="1" s="86"/>
    <row r="862" ht="15" customHeight="1" s="86"/>
    <row r="863" ht="15" customHeight="1" s="86"/>
    <row r="864" ht="15" customHeight="1" s="86"/>
    <row r="865" ht="15" customHeight="1" s="86"/>
    <row r="866" ht="15" customHeight="1" s="86"/>
    <row r="867" ht="15" customHeight="1" s="86"/>
    <row r="868" ht="15" customHeight="1" s="86"/>
    <row r="869" ht="15" customHeight="1" s="86"/>
    <row r="870" ht="15" customHeight="1" s="86"/>
    <row r="871" ht="15" customHeight="1" s="86"/>
    <row r="872" ht="15" customHeight="1" s="86"/>
    <row r="873" ht="15" customHeight="1" s="86"/>
    <row r="874" ht="15" customHeight="1" s="86"/>
    <row r="875" ht="15" customHeight="1" s="86"/>
    <row r="876" ht="15" customHeight="1" s="86"/>
    <row r="877" ht="15" customHeight="1" s="86"/>
    <row r="878" ht="15" customHeight="1" s="86"/>
    <row r="879" ht="15" customHeight="1" s="86"/>
    <row r="880" ht="15" customHeight="1" s="86"/>
    <row r="881" ht="15" customHeight="1" s="86"/>
    <row r="882" ht="15" customHeight="1" s="86"/>
    <row r="883" ht="15" customHeight="1" s="86"/>
    <row r="884" ht="15" customHeight="1" s="86"/>
    <row r="885" ht="15" customHeight="1" s="86"/>
    <row r="886" ht="15" customHeight="1" s="86"/>
    <row r="887" ht="15" customHeight="1" s="86"/>
    <row r="888" ht="15" customHeight="1" s="86"/>
    <row r="889" ht="15" customHeight="1" s="86"/>
    <row r="890" ht="15" customHeight="1" s="86"/>
    <row r="891" ht="15" customHeight="1" s="86"/>
    <row r="892" ht="15" customHeight="1" s="86"/>
    <row r="893" ht="15" customHeight="1" s="86"/>
    <row r="894" ht="15" customHeight="1" s="86"/>
    <row r="895" ht="15" customHeight="1" s="86"/>
    <row r="896" ht="15" customHeight="1" s="86"/>
    <row r="897" ht="15" customHeight="1" s="86"/>
    <row r="898" ht="15" customHeight="1" s="86"/>
    <row r="899" ht="15" customHeight="1" s="86"/>
    <row r="900" ht="15" customHeight="1" s="86"/>
    <row r="901" ht="15" customHeight="1" s="86"/>
    <row r="902" ht="15" customHeight="1" s="86"/>
    <row r="903" ht="15" customHeight="1" s="86"/>
    <row r="904" ht="15" customHeight="1" s="86"/>
    <row r="905" ht="15" customHeight="1" s="86"/>
    <row r="906" ht="15" customHeight="1" s="86"/>
    <row r="907" ht="15" customHeight="1" s="86"/>
    <row r="908" ht="15" customHeight="1" s="86"/>
    <row r="909" ht="15" customHeight="1" s="86"/>
    <row r="910" ht="15" customHeight="1" s="86"/>
    <row r="911" ht="15" customHeight="1" s="86"/>
    <row r="912" ht="15" customHeight="1" s="86"/>
    <row r="913" ht="15" customHeight="1" s="86"/>
    <row r="914" ht="15" customHeight="1" s="86"/>
    <row r="915" ht="15" customHeight="1" s="86"/>
    <row r="916" ht="15" customHeight="1" s="86"/>
    <row r="917" ht="15" customHeight="1" s="86"/>
    <row r="918" ht="15" customHeight="1" s="86"/>
    <row r="919" ht="15" customHeight="1" s="86"/>
    <row r="920" ht="15" customHeight="1" s="86"/>
    <row r="921" ht="15" customHeight="1" s="86"/>
    <row r="922" ht="15" customHeight="1" s="86"/>
    <row r="923" ht="15" customHeight="1" s="86"/>
    <row r="924" ht="15" customHeight="1" s="86"/>
    <row r="925" ht="15" customHeight="1" s="86"/>
    <row r="926" ht="15" customHeight="1" s="86"/>
    <row r="927" ht="15" customHeight="1" s="86"/>
    <row r="928" ht="15" customHeight="1" s="86"/>
    <row r="929" ht="15" customHeight="1" s="86"/>
    <row r="930" ht="15" customHeight="1" s="86"/>
    <row r="931" ht="15" customHeight="1" s="86"/>
    <row r="932" ht="15" customHeight="1" s="86"/>
    <row r="933" ht="15" customHeight="1" s="86"/>
    <row r="934" ht="15" customHeight="1" s="86"/>
    <row r="935" ht="15" customHeight="1" s="86"/>
    <row r="936" ht="15" customHeight="1" s="86"/>
    <row r="937" ht="15" customHeight="1" s="86"/>
    <row r="938" ht="15" customHeight="1" s="86"/>
    <row r="939" ht="15" customHeight="1" s="86"/>
    <row r="940" ht="15" customHeight="1" s="86"/>
    <row r="941" ht="15" customHeight="1" s="86"/>
    <row r="942" ht="15" customHeight="1" s="86"/>
    <row r="943" ht="15" customHeight="1" s="86"/>
    <row r="944" ht="15" customHeight="1" s="86"/>
    <row r="945" ht="15" customHeight="1" s="86"/>
    <row r="946" ht="15" customHeight="1" s="86"/>
    <row r="947" ht="15" customHeight="1" s="86"/>
    <row r="948" ht="15" customHeight="1" s="86"/>
    <row r="949" ht="15" customHeight="1" s="86"/>
    <row r="950" ht="15" customHeight="1" s="86"/>
    <row r="951" ht="15" customHeight="1" s="86"/>
    <row r="952" ht="15" customHeight="1" s="86"/>
    <row r="953" ht="15" customHeight="1" s="86"/>
    <row r="954" ht="15" customHeight="1" s="86"/>
    <row r="955" ht="15" customHeight="1" s="86"/>
    <row r="956" ht="15" customHeight="1" s="86"/>
    <row r="957" ht="15" customHeight="1" s="86"/>
    <row r="958" ht="15" customHeight="1" s="86"/>
    <row r="959" ht="15" customHeight="1" s="86"/>
    <row r="960" ht="15" customHeight="1" s="86"/>
    <row r="961" ht="15" customHeight="1" s="86"/>
    <row r="962" ht="15" customHeight="1" s="86"/>
    <row r="963" ht="15" customHeight="1" s="86"/>
    <row r="964" ht="15" customHeight="1" s="86"/>
    <row r="965" ht="15" customHeight="1" s="86"/>
    <row r="966" ht="15" customHeight="1" s="86"/>
    <row r="967" ht="15" customHeight="1" s="86"/>
    <row r="968" ht="15" customHeight="1" s="86"/>
    <row r="969" ht="15" customHeight="1" s="86"/>
    <row r="970" ht="15" customHeight="1" s="86"/>
    <row r="971" ht="15" customHeight="1" s="86"/>
    <row r="972" ht="15" customHeight="1" s="86"/>
    <row r="973" ht="15" customHeight="1" s="86"/>
    <row r="974" ht="15" customHeight="1" s="86"/>
    <row r="975" ht="15" customHeight="1" s="86"/>
    <row r="976" ht="15" customHeight="1" s="86"/>
    <row r="977" ht="15" customHeight="1" s="86"/>
    <row r="978" ht="15" customHeight="1" s="86"/>
    <row r="979" ht="15" customHeight="1" s="86"/>
    <row r="980" ht="15" customHeight="1" s="86"/>
    <row r="981" ht="15" customHeight="1" s="86"/>
    <row r="982" ht="15" customHeight="1" s="86"/>
    <row r="983" ht="15" customHeight="1" s="86"/>
    <row r="984" ht="15" customHeight="1" s="86"/>
    <row r="985" ht="15" customHeight="1" s="86"/>
    <row r="986" ht="15" customHeight="1" s="86"/>
    <row r="987" ht="15" customHeight="1" s="86"/>
    <row r="988" ht="15" customHeight="1" s="86"/>
    <row r="989" ht="15" customHeight="1" s="86"/>
    <row r="990" ht="15" customHeight="1" s="86"/>
    <row r="991" ht="15" customHeight="1" s="86"/>
    <row r="992" ht="15" customHeight="1" s="86"/>
    <row r="993" ht="15" customHeight="1" s="86"/>
    <row r="994" ht="15" customHeight="1" s="86"/>
    <row r="995" ht="15" customHeight="1" s="86"/>
    <row r="996" ht="15" customHeight="1" s="86"/>
    <row r="997" ht="15" customHeight="1" s="86"/>
    <row r="998" ht="15" customHeight="1" s="86"/>
    <row r="999" ht="15" customHeight="1" s="86"/>
    <row r="1000" ht="15" customHeight="1" s="86"/>
    <row r="1001" ht="15" customHeight="1" s="86"/>
    <row r="1002" ht="15" customHeight="1" s="86"/>
    <row r="1003" ht="15" customHeight="1" s="86"/>
    <row r="1004" ht="15" customHeight="1" s="86"/>
    <row r="1005" ht="15" customHeight="1" s="86"/>
    <row r="1006" ht="15" customHeight="1" s="86"/>
    <row r="1007" ht="15" customHeight="1" s="86"/>
    <row r="1008" ht="15" customHeight="1" s="86"/>
    <row r="1009" ht="15" customHeight="1" s="86"/>
    <row r="1010" ht="15" customHeight="1" s="86"/>
    <row r="1011" ht="15" customHeight="1" s="86"/>
    <row r="1012" ht="15" customHeight="1" s="86"/>
    <row r="1013" ht="15" customHeight="1" s="86"/>
    <row r="1014" ht="15" customHeight="1" s="86"/>
    <row r="1015" ht="15" customHeight="1" s="86"/>
    <row r="1016" ht="15" customHeight="1" s="86"/>
    <row r="1017" ht="15" customHeight="1" s="86"/>
    <row r="1018" ht="15" customHeight="1" s="86"/>
    <row r="1019" ht="15" customHeight="1" s="86"/>
    <row r="1020" ht="15" customHeight="1" s="86"/>
    <row r="1021" ht="15" customHeight="1" s="86"/>
    <row r="1022" ht="15" customHeight="1" s="86"/>
    <row r="1023" ht="15" customHeight="1" s="86"/>
    <row r="1024" ht="15" customHeight="1" s="86"/>
    <row r="1025" ht="15" customHeight="1" s="86"/>
    <row r="1026" ht="15" customHeight="1" s="86"/>
    <row r="1027" ht="15" customHeight="1" s="86"/>
    <row r="1028" ht="15" customHeight="1" s="86"/>
    <row r="1029" ht="15" customHeight="1" s="86"/>
    <row r="1030" ht="15" customHeight="1" s="86"/>
    <row r="1031" ht="15" customHeight="1" s="86"/>
    <row r="1032" ht="15" customHeight="1" s="86"/>
    <row r="1033" ht="15" customHeight="1" s="86"/>
    <row r="1034" ht="15" customHeight="1" s="86"/>
    <row r="1035" ht="15" customHeight="1" s="86"/>
    <row r="1036" ht="15" customHeight="1" s="86"/>
    <row r="1037" ht="15" customHeight="1" s="86"/>
    <row r="1038" ht="15" customHeight="1" s="86"/>
    <row r="1039" ht="15" customHeight="1" s="86"/>
    <row r="1040" ht="15" customHeight="1" s="86"/>
    <row r="1041" ht="15" customHeight="1" s="86"/>
    <row r="1042" ht="15" customHeight="1" s="86"/>
    <row r="1043" ht="15" customHeight="1" s="86"/>
    <row r="1044" ht="15" customHeight="1" s="86"/>
    <row r="1045" ht="15" customHeight="1" s="86"/>
    <row r="1046" ht="15" customHeight="1" s="86"/>
    <row r="1047" ht="15" customHeight="1" s="86"/>
    <row r="1048" ht="15" customHeight="1" s="86"/>
    <row r="1049" ht="15" customHeight="1" s="86"/>
    <row r="1050" ht="15" customHeight="1" s="86"/>
    <row r="1051" ht="15" customHeight="1" s="86"/>
    <row r="1052" ht="15" customHeight="1" s="86"/>
    <row r="1053" ht="15" customHeight="1" s="86"/>
    <row r="1054" ht="15" customHeight="1" s="86"/>
    <row r="1055" ht="15" customHeight="1" s="86"/>
    <row r="1056" ht="15" customHeight="1" s="86"/>
    <row r="1057" ht="15" customHeight="1" s="86"/>
    <row r="1058" ht="15" customHeight="1" s="86"/>
    <row r="1059" ht="15" customHeight="1" s="86"/>
    <row r="1060" ht="15" customHeight="1" s="86"/>
    <row r="1061" ht="15" customHeight="1" s="86"/>
    <row r="1062" ht="15" customHeight="1" s="86"/>
    <row r="1063" ht="15" customHeight="1" s="86"/>
    <row r="1064" ht="15" customHeight="1" s="86"/>
    <row r="1065" ht="15" customHeight="1" s="86"/>
    <row r="1066" ht="15" customHeight="1" s="86"/>
    <row r="1067" ht="15" customHeight="1" s="86"/>
    <row r="1068" ht="15" customHeight="1" s="86"/>
    <row r="1069" ht="15" customHeight="1" s="86"/>
    <row r="1070" ht="15" customHeight="1" s="86"/>
    <row r="1071" ht="15" customHeight="1" s="86"/>
    <row r="1072" ht="15" customHeight="1" s="86"/>
    <row r="1073" ht="15" customHeight="1" s="86"/>
    <row r="1074" ht="15" customHeight="1" s="86"/>
    <row r="1075" ht="15" customHeight="1" s="86"/>
    <row r="1076" ht="15" customHeight="1" s="86"/>
    <row r="1077" ht="15" customHeight="1" s="86"/>
    <row r="1078" ht="15" customHeight="1" s="86"/>
    <row r="1079" ht="15" customHeight="1" s="86"/>
    <row r="1080" ht="15" customHeight="1" s="86"/>
    <row r="1081" ht="15" customHeight="1" s="86"/>
    <row r="1082" ht="15" customHeight="1" s="86"/>
    <row r="1083" ht="15" customHeight="1" s="86"/>
    <row r="1084" ht="15" customHeight="1" s="86"/>
    <row r="1085" ht="15" customHeight="1" s="86"/>
    <row r="1086" ht="15" customHeight="1" s="86"/>
    <row r="1087" ht="15" customHeight="1" s="86"/>
    <row r="1088" ht="15" customHeight="1" s="86"/>
    <row r="1089" ht="15" customHeight="1" s="86"/>
    <row r="1090" ht="15" customHeight="1" s="86"/>
    <row r="1091" ht="15" customHeight="1" s="86"/>
    <row r="1092" ht="15" customHeight="1" s="86"/>
    <row r="1093" ht="15" customHeight="1" s="86"/>
    <row r="1094" ht="15" customHeight="1" s="86"/>
    <row r="1095" ht="15" customHeight="1" s="86"/>
    <row r="1096" ht="15" customHeight="1" s="86"/>
    <row r="1097" ht="15" customHeight="1" s="86"/>
    <row r="1098" ht="15" customHeight="1" s="86"/>
    <row r="1099" ht="15" customHeight="1" s="86"/>
    <row r="1100" ht="15" customHeight="1" s="86"/>
    <row r="1101" ht="15" customHeight="1" s="86"/>
    <row r="1102" ht="15" customHeight="1" s="86"/>
    <row r="1103" ht="15" customHeight="1" s="86"/>
    <row r="1104" ht="15" customHeight="1" s="86"/>
    <row r="1105" ht="15" customHeight="1" s="86"/>
    <row r="1106" ht="15" customHeight="1" s="86"/>
    <row r="1107" ht="15" customHeight="1" s="86"/>
    <row r="1108" ht="15" customHeight="1" s="86"/>
    <row r="1109" ht="15" customHeight="1" s="86"/>
    <row r="1110" ht="15" customHeight="1" s="86"/>
    <row r="1111" ht="15" customHeight="1" s="86"/>
    <row r="1112" ht="15" customHeight="1" s="86"/>
    <row r="1113" ht="15" customHeight="1" s="86"/>
    <row r="1114" ht="15" customHeight="1" s="86"/>
    <row r="1115" ht="15" customHeight="1" s="86"/>
    <row r="1116" ht="15" customHeight="1" s="86"/>
    <row r="1117" ht="15" customHeight="1" s="86"/>
    <row r="1118" ht="15" customHeight="1" s="86"/>
    <row r="1119" ht="15" customHeight="1" s="86"/>
    <row r="1120" ht="15" customHeight="1" s="86"/>
    <row r="1121" ht="15" customHeight="1" s="86"/>
    <row r="1122" ht="15" customHeight="1" s="86"/>
    <row r="1123" ht="15" customHeight="1" s="86"/>
    <row r="1124" ht="15" customHeight="1" s="86"/>
    <row r="1125" ht="15" customHeight="1" s="86"/>
    <row r="1126" ht="15" customHeight="1" s="86"/>
    <row r="1127" ht="15" customHeight="1" s="86"/>
    <row r="1128" ht="15" customHeight="1" s="86"/>
    <row r="1129" ht="15" customHeight="1" s="86"/>
    <row r="1130" ht="15" customHeight="1" s="86"/>
    <row r="1131" ht="15" customHeight="1" s="86"/>
    <row r="1132" ht="15" customHeight="1" s="86"/>
    <row r="1133" ht="15" customHeight="1" s="86"/>
    <row r="1134" ht="15" customHeight="1" s="86"/>
    <row r="1135" ht="15" customHeight="1" s="86"/>
    <row r="1136" ht="15" customHeight="1" s="86"/>
    <row r="1137" ht="15" customHeight="1" s="86"/>
    <row r="1138" ht="15" customHeight="1" s="86"/>
    <row r="1139" ht="15" customHeight="1" s="86"/>
    <row r="1140" ht="15" customHeight="1" s="86"/>
    <row r="1141" ht="15" customHeight="1" s="86"/>
    <row r="1142" ht="15" customHeight="1" s="86"/>
    <row r="1143" ht="15" customHeight="1" s="86"/>
    <row r="1144" ht="15" customHeight="1" s="86"/>
    <row r="1145" ht="15" customHeight="1" s="86"/>
    <row r="1146" ht="15" customHeight="1" s="86"/>
    <row r="1147" ht="15" customHeight="1" s="86"/>
    <row r="1148" ht="15" customHeight="1" s="86"/>
    <row r="1149" ht="15" customHeight="1" s="86"/>
    <row r="1150" ht="15" customHeight="1" s="86"/>
    <row r="1151" ht="15" customHeight="1" s="86"/>
    <row r="1152" ht="15" customHeight="1" s="86"/>
    <row r="1153" ht="15" customHeight="1" s="86"/>
    <row r="1154" ht="15" customHeight="1" s="86"/>
    <row r="1155" ht="15" customHeight="1" s="86"/>
    <row r="1156" ht="15" customHeight="1" s="86"/>
    <row r="1157" ht="15" customHeight="1" s="86"/>
    <row r="1158" ht="15" customHeight="1" s="86"/>
    <row r="1159" ht="15" customHeight="1" s="86"/>
    <row r="1160" ht="15" customHeight="1" s="86"/>
    <row r="1161" ht="15" customHeight="1" s="86"/>
    <row r="1162" ht="15" customHeight="1" s="86"/>
    <row r="1163" ht="15" customHeight="1" s="86"/>
    <row r="1164" ht="15" customHeight="1" s="86"/>
    <row r="1165" ht="15" customHeight="1" s="86"/>
    <row r="1166" ht="15" customHeight="1" s="86"/>
    <row r="1167" ht="15" customHeight="1" s="86"/>
    <row r="1168" ht="15" customHeight="1" s="86"/>
    <row r="1169" ht="15" customHeight="1" s="86"/>
    <row r="1170" ht="15" customHeight="1" s="86"/>
    <row r="1171" ht="15" customHeight="1" s="86"/>
    <row r="1172" ht="15" customHeight="1" s="86"/>
    <row r="1173" ht="15" customHeight="1" s="86"/>
    <row r="1174" ht="15" customHeight="1" s="86"/>
    <row r="1175" ht="15" customHeight="1" s="86"/>
    <row r="1176" ht="15" customHeight="1" s="86"/>
    <row r="1177" ht="15" customHeight="1" s="86"/>
    <row r="1178" ht="15" customHeight="1" s="86"/>
    <row r="1179" ht="15" customHeight="1" s="86"/>
    <row r="1180" ht="15" customHeight="1" s="86"/>
    <row r="1181" ht="15" customHeight="1" s="86"/>
    <row r="1182" ht="15" customHeight="1" s="86"/>
    <row r="1183" ht="15" customHeight="1" s="86"/>
    <row r="1184" ht="15" customHeight="1" s="86"/>
    <row r="1185" ht="15" customHeight="1" s="86"/>
    <row r="1186" ht="15" customHeight="1" s="86"/>
    <row r="1187" ht="15" customHeight="1" s="86"/>
    <row r="1188" ht="15" customHeight="1" s="86"/>
    <row r="1189" ht="15" customHeight="1" s="86"/>
    <row r="1190" ht="15" customHeight="1" s="86"/>
    <row r="1191" ht="15" customHeight="1" s="86"/>
    <row r="1192" ht="15" customHeight="1" s="86"/>
    <row r="1193" ht="15" customHeight="1" s="86"/>
    <row r="1194" ht="15" customHeight="1" s="86"/>
    <row r="1195" ht="15" customHeight="1" s="86"/>
    <row r="1196" ht="15" customHeight="1" s="86"/>
    <row r="1197" ht="15" customHeight="1" s="86"/>
    <row r="1198" ht="15" customHeight="1" s="86"/>
    <row r="1199" ht="15" customHeight="1" s="86"/>
    <row r="1200" ht="15" customHeight="1" s="86"/>
    <row r="1201" ht="15" customHeight="1" s="86"/>
    <row r="1202" ht="15" customHeight="1" s="86"/>
    <row r="1203" ht="15" customHeight="1" s="86"/>
    <row r="1204" ht="15" customHeight="1" s="86"/>
    <row r="1205" ht="15" customHeight="1" s="86"/>
    <row r="1206" ht="15" customHeight="1" s="86"/>
    <row r="1207" ht="15" customHeight="1" s="86"/>
    <row r="1208" ht="15" customHeight="1" s="86"/>
    <row r="1209" ht="15" customHeight="1" s="86"/>
    <row r="1210" ht="15" customHeight="1" s="86"/>
    <row r="1211" ht="15" customHeight="1" s="86"/>
    <row r="1212" ht="15" customHeight="1" s="86"/>
    <row r="1213" ht="15" customHeight="1" s="86"/>
    <row r="1214" ht="15" customHeight="1" s="86"/>
    <row r="1215" ht="15" customHeight="1" s="86"/>
    <row r="1216" ht="15" customHeight="1" s="86"/>
    <row r="1217" ht="15" customHeight="1" s="86"/>
    <row r="1218" ht="15" customHeight="1" s="86"/>
    <row r="1219" ht="15" customHeight="1" s="86"/>
    <row r="1220" ht="15" customHeight="1" s="86"/>
    <row r="1221" ht="15" customHeight="1" s="86"/>
    <row r="1222" ht="15" customHeight="1" s="86"/>
    <row r="1223" ht="15" customHeight="1" s="86"/>
    <row r="1224" ht="15" customHeight="1" s="86"/>
    <row r="1225" ht="15" customHeight="1" s="86"/>
    <row r="1226" ht="15" customHeight="1" s="86"/>
    <row r="1227" ht="15" customHeight="1" s="86"/>
    <row r="1228" ht="15" customHeight="1" s="86"/>
    <row r="1229" ht="15" customHeight="1" s="86"/>
    <row r="1230" ht="15" customHeight="1" s="86"/>
    <row r="1231" ht="15" customHeight="1" s="86"/>
    <row r="1232" ht="15" customHeight="1" s="86"/>
    <row r="1233" ht="15" customHeight="1" s="86"/>
    <row r="1234" ht="15" customHeight="1" s="86"/>
    <row r="1235" ht="15" customHeight="1" s="86"/>
    <row r="1236" ht="15" customHeight="1" s="86"/>
    <row r="1237" ht="15" customHeight="1" s="86"/>
    <row r="1238" ht="15" customHeight="1" s="86"/>
    <row r="1239" ht="15" customHeight="1" s="86"/>
    <row r="1240" ht="15" customHeight="1" s="86"/>
    <row r="1241" ht="15" customHeight="1" s="86"/>
    <row r="1242" ht="15" customHeight="1" s="86"/>
    <row r="1243" ht="15" customHeight="1" s="86"/>
    <row r="1244" ht="15" customHeight="1" s="86"/>
    <row r="1245" ht="15" customHeight="1" s="86"/>
    <row r="1246" ht="15" customHeight="1" s="86"/>
    <row r="1247" ht="15" customHeight="1" s="86"/>
    <row r="1248" ht="15" customHeight="1" s="86"/>
    <row r="1249" ht="15" customHeight="1" s="86"/>
    <row r="1250" ht="15" customHeight="1" s="86"/>
    <row r="1251" ht="15" customHeight="1" s="86"/>
    <row r="1252" ht="15" customHeight="1" s="86"/>
    <row r="1253" ht="15" customHeight="1" s="86"/>
    <row r="1254" ht="15" customHeight="1" s="86"/>
    <row r="1255" ht="15" customHeight="1" s="86"/>
    <row r="1256" ht="15" customHeight="1" s="86"/>
    <row r="1257" ht="15" customHeight="1" s="86"/>
    <row r="1258" ht="15" customHeight="1" s="86"/>
    <row r="1259" ht="15" customHeight="1" s="86"/>
    <row r="1260" ht="15" customHeight="1" s="86"/>
    <row r="1261" ht="15" customHeight="1" s="86"/>
    <row r="1262" ht="15" customHeight="1" s="86"/>
    <row r="1263" ht="15" customHeight="1" s="86"/>
    <row r="1264" ht="15" customHeight="1" s="86"/>
  </sheetData>
  <autoFilter ref="$A$4:$AQ$4"/>
  <dataValidations count="48">
    <dataValidation sqref="C5:C1021" showDropDown="0" showInputMessage="1" showErrorMessage="1" allowBlank="1" prompt="Required: - Please enter employee's first name." type="custom">
      <formula1>AND(GTE(LEN(C5),MIN((1),(35))),LTE(LEN(C5),MAX((1),(35))))</formula1>
    </dataValidation>
    <dataValidation sqref="F5:F1100" showDropDown="0" showInputMessage="1" showErrorMessage="0" allowBlank="1" prompt="Optional: - Please select employee's suffix." type="list">
      <formula1>"Jr.,Sr.,I,II,III,IV"</formula1>
    </dataValidation>
    <dataValidation sqref="Q5:Q1021" showDropDown="0" showInputMessage="1" showErrorMessage="1" allowBlank="1" prompt="Conditional: - Please enter details if the Employment Type I is 'Other'." type="custom">
      <formula1>AND(GTE(LEN(Q5),MIN((1),(50))),LTE(LEN(Q5),MAX((1),(50))))</formula1>
    </dataValidation>
    <dataValidation sqref="AB5:AB1021" showDropDown="0" showInputMessage="1" showErrorMessage="1" allowBlank="1" prompt="Optional: - Please enter Employee's Job Title." type="custom">
      <formula1>AND(GTE(LEN(AB5),MIN((1),(30))),LTE(LEN(AB5),MAX((1),(30))))</formula1>
    </dataValidation>
    <dataValidation sqref="A5:A1100" showDropDown="0" showInputMessage="1" showErrorMessage="1" allowBlank="1" prompt="Conditional: - Enter 9 digit Employer Identification Number." type="custom">
      <formula1>AND(ISNUMBER(A5+0),LEN(A5)=9)</formula1>
    </dataValidation>
    <dataValidation sqref="AE5 AE7:AE1021" showDropDown="0" showInputMessage="1" showErrorMessage="0" allowBlank="1" prompt="Optional: - Please select Employment Classification I." type="list">
      <formula1>"Union,Non-Union"</formula1>
    </dataValidation>
    <dataValidation sqref="X5:X1021" showDropDown="0" showInputMessage="1" showErrorMessage="1" allowBlank="1" prompt="Conditional: - Information is required if 'Pay Type' selected as 'Hourly'." type="custom">
      <formula1>AND(ISNUMBER(X5),LEN(X5)&lt;=5)</formula1>
    </dataValidation>
    <dataValidation sqref="AO5:AO1021" showDropDown="0" showInputMessage="1" showErrorMessage="1" allowBlank="1" prompt="Required: - Please enter 5 digit zipcode." type="custom">
      <formula1>EQ(LEN(AO5),(5))</formula1>
    </dataValidation>
    <dataValidation sqref="H5:H1021" showDropDown="0" showInputMessage="1" showErrorMessage="0" allowBlank="1" prompt="Please select employee's gender." type="list">
      <formula1>"Male,Female"</formula1>
    </dataValidation>
    <dataValidation sqref="BD5:BD1100" showDropDown="0" showInputMessage="1" showErrorMessage="1" allowBlank="1" prompt="Required: - Please select Relationship." type="list">
      <formula1>"Spouse,Child,Domestic Partner,Other dependent"</formula1>
    </dataValidation>
    <dataValidation sqref="D5:D1021" showDropDown="0" showInputMessage="1" showErrorMessage="1" allowBlank="1" prompt="Optional: - Please enter employee's middle initial." type="custom">
      <formula1>AND(ISNUMBER(D5)=FALSE,LEN(D5)=1)</formula1>
    </dataValidation>
    <dataValidation sqref="AY5:AY1100" showDropDown="0" showInputMessage="1" showErrorMessage="1" allowBlank="1" prompt="Required: - Please enter dependent's last name." type="custom">
      <formula1>AND(GTE(LEN(AY5),MIN((1),(60))),LTE(LEN(AY5),MAX((1),(60))))</formula1>
    </dataValidation>
    <dataValidation sqref="B5:B1100" showDropDown="0" showInputMessage="1" showErrorMessage="0" allowBlank="1" prompt="Optional: - Please select employee's prefix." type="list">
      <formula1>"Mr.,Mrs.,Ms.,Miss.,Dr."</formula1>
    </dataValidation>
    <dataValidation sqref="E5:E1021" showDropDown="0" showInputMessage="1" showErrorMessage="1" allowBlank="1" prompt="Required: - Please enter employee's last name." type="custom">
      <formula1>AND(GTE(LEN(E5),MIN((1),(60))),LTE(LEN(E5),MAX((1),(60))))</formula1>
    </dataValidation>
    <dataValidation sqref="L5:L1021" showDropDown="0" showInputMessage="1" showErrorMessage="0" allowBlank="1" prompt="Required: - Please select the Employment status." type="list">
      <formula1>"Active,Terminated"</formula1>
    </dataValidation>
    <dataValidation sqref="O5 O7:O1021" showDropDown="0" showInputMessage="1" showErrorMessage="0" allowBlank="1" prompt="Optional: - Please select Termination Reason." type="list">
      <formula1>"Death,Retirement,Voluntary Termination of Employment,Involuntary Termination of Employment,Permanent Disability,Transfer,Other"</formula1>
    </dataValidation>
    <dataValidation sqref="AJ5:AJ1021" showDropDown="0" showInputMessage="1" showErrorMessage="1" allowBlank="1" prompt="Required: - Please enter employee's official email address." type="custom">
      <formula1>FIND("@",AJ5)</formula1>
    </dataValidation>
    <dataValidation sqref="N5:N1021" showDropDown="0" showInputMessage="1" showErrorMessage="1" allowBlank="1" prompt="Optional: - Date should be in MM/DD/YYYY format." type="date" operator="greaterThanOrEqual">
      <formula1>1.0</formula1>
    </dataValidation>
    <dataValidation sqref="W5:W1264" showDropDown="0" showInputMessage="1" showErrorMessage="1" allowBlank="1" prompt="Conditional: - Information is required if 'Pay Type' selected as 'Hourly'." type="custom">
      <formula1>AND(ROUND(W5,2)=W5,W5&lt;100,W5&gt;=0)</formula1>
    </dataValidation>
    <dataValidation sqref="AI5:AI1021" showDropDown="0" showInputMessage="1" showErrorMessage="1" allowBlank="1" prompt="Optional: - Please enter employee's personal email address." type="custom">
      <formula1>FIND("@",AI5)</formula1>
    </dataValidation>
    <dataValidation sqref="AF5 AF7:AF1021" showDropDown="0" showInputMessage="1" showErrorMessage="0" allowBlank="1" prompt="Optional: - Please select Employment Classification II." type="list">
      <formula1>"Exempt,Non-Exempt"</formula1>
    </dataValidation>
    <dataValidation sqref="AD5:AD1021" showDropDown="0" showInputMessage="1" showErrorMessage="0" allowBlank="1" prompt="Optional: - Please select Employee Type." type="list">
      <formula1>"Permanent,Temporary"</formula1>
    </dataValidation>
    <dataValidation sqref="R5:R1021" showDropDown="0" showInputMessage="1" showErrorMessage="0" allowBlank="1" prompt="Required: - Please select the Pay type." type="list">
      <formula1>"Salaried,Hourly"</formula1>
    </dataValidation>
    <dataValidation sqref="U5:U1100" showDropDown="0" showInputMessage="1" showErrorMessage="1" allowBlank="1" prompt="Conditional: - Information is required if 'Pay Type' selected as 'Salaried'." type="custom">
      <formula1>AND(ISNUMBER(U5),LEN(U5)&lt;=10)</formula1>
    </dataValidation>
    <dataValidation sqref="P6" showDropDown="0" showInputMessage="1" showErrorMessage="0" allowBlank="1" prompt="Required: - Please select the Employment Type." type="list">
      <formula1>"Full Time,Part Time,Other,Seasonal"</formula1>
    </dataValidation>
    <dataValidation sqref="G5:G1021 M5:M1021 BA5:BA1100" showDropDown="0" showInputMessage="1" showErrorMessage="1" allowBlank="1" prompt="Required: - Date should be in MM/DD/YYYY format." type="date" operator="greaterThanOrEqual">
      <formula1>1.0</formula1>
    </dataValidation>
    <dataValidation sqref="AN5:AN1021" showDropDown="0" showInputMessage="1" showErrorMessage="1" allowBlank="1" prompt="Required: - Please enter City." type="custom">
      <formula1>AND(GTE(LEN(AN5),MIN((2),(30))),LTE(LEN(AN5),MAX((2),(30))))</formula1>
    </dataValidation>
    <dataValidation sqref="AM5:AM1021" showDropDown="0" showInputMessage="1" showErrorMessage="1" allowBlank="1" prompt="Optional: - Please enter employee's Address Line 2." type="custom">
      <formula1>AND(GTE(LEN(AM5),MIN((1),(55))),LTE(LEN(AM5),MAX((1),(55))))</formula1>
    </dataValidation>
    <dataValidation sqref="V5:V1021" showDropDown="0" showInputMessage="1" showErrorMessage="1" allowBlank="1" prompt="Optional - Date should be in MM/DD/YYYY format." type="date" operator="greaterThanOrEqual">
      <formula1>32874.0</formula1>
    </dataValidation>
    <dataValidation sqref="P5 P7:P1021" showDropDown="0" showInputMessage="1" showErrorMessage="0" allowBlank="1" prompt="Required: - Please select the Employment Type I." type="list">
      <formula1>"Full Time,Part Time,Other,Seasonal"</formula1>
    </dataValidation>
    <dataValidation sqref="AE6" showDropDown="0" showInputMessage="1" showErrorMessage="0" allowBlank="1" prompt="Optional: - Please select Union Classification." type="list">
      <formula1>"Union,Non-Union"</formula1>
    </dataValidation>
    <dataValidation sqref="J5:J1021" showDropDown="0" showInputMessage="1" showErrorMessage="0" allowBlank="1" prompt="Optional: - Please select YES if your employee has used any tobacco product in the past twelve months." type="list">
      <formula1>"Yes,No"</formula1>
    </dataValidation>
    <dataValidation sqref="AL5:AL1021" showDropDown="0" showInputMessage="1" showErrorMessage="1" allowBlank="1" prompt="Please enter employee's Address Line 1." type="custom">
      <formula1>AND(GTE(LEN(AL5),MIN((1),(55))),LTE(LEN(AL5),MAX((1),(55))))</formula1>
    </dataValidation>
    <dataValidation sqref="AW5:AW1100" showDropDown="0" showInputMessage="1" showErrorMessage="1" allowBlank="1" prompt="Required: - Please enter dependent's first name." type="custom">
      <formula1>AND(GTE(LEN(AW5),MIN((1),(35))),LTE(LEN(AW5),MAX((1),(35))))</formula1>
    </dataValidation>
    <dataValidation sqref="BE5:BE1100" showDropDown="0" showInputMessage="1" showErrorMessage="1" allowBlank="1" prompt="Optional: - Please select dependent's disability status." type="list">
      <formula1>"Yes,No"</formula1>
    </dataValidation>
    <dataValidation sqref="AG5:AG1021" showDropDown="0" showInputMessage="1" showErrorMessage="1" allowBlank="1" prompt="Optional: - Please enter Employee's Work Location." type="custom">
      <formula1>AND(GTE(LEN(AG5),MIN((1),(80))),LTE(LEN(AG5),MAX((1),(80))))</formula1>
    </dataValidation>
    <dataValidation sqref="AC5:AC1021" showDropDown="0" showInputMessage="1" showErrorMessage="1" allowBlank="1" prompt="Optional: - Please enter Employee's Department." type="custom">
      <formula1>AND(GTE(LEN(AC5),MIN((1),(50))),LTE(LEN(AC5),MAX((1),(50))))</formula1>
    </dataValidation>
    <dataValidation sqref="AP5:AP1021" showDropDown="0" showInputMessage="1" showErrorMessage="0" allowBlank="1" prompt="Required: - Please select State(Abbreviation)" type="list">
      <formula1>State_Codes</formula1>
    </dataValidation>
    <dataValidation sqref="AH5:AH1021" showDropDown="0" showInputMessage="1" showErrorMessage="1" allowBlank="1" prompt="Optional: - Please enter Employee's Division." type="custom">
      <formula1>AND(GTE(LEN(AH5),MIN((1),(50))),LTE(LEN(AH5),MAX((1),(50))))</formula1>
    </dataValidation>
    <dataValidation sqref="AZ5:AZ1100" showDropDown="0" showInputMessage="1" showErrorMessage="1" allowBlank="1" prompt="Optional: - Please select dependent's suffix." type="list">
      <formula1>"Jr.,Sr.,I,II,III,IV"</formula1>
    </dataValidation>
    <dataValidation sqref="K5:K1021" showDropDown="0" showInputMessage="1" showErrorMessage="1" allowBlank="1" prompt="Required: - Please enter the Employee ID." type="custom">
      <formula1>AND(GTE(LEN(K5),MIN((1),(50))),LTE(LEN(K5),MAX((1),(50))))</formula1>
    </dataValidation>
    <dataValidation sqref="AV5:AV1100" showDropDown="0" showInputMessage="1" showErrorMessage="1" allowBlank="1" prompt="Optional: - Please select dependent's prefix." type="list">
      <formula1>"Mr.,Mrs.,Ms.,Miss.,Dr."</formula1>
    </dataValidation>
    <dataValidation sqref="BC5:BC1100" showDropDown="0" showInputMessage="1" showErrorMessage="1" allowBlank="1" prompt="Optional: - Please select YES if employee's dependent has used any tobacco product in the past six months." type="list">
      <formula1>"Yes,No"</formula1>
    </dataValidation>
    <dataValidation sqref="AX5:AX1100" showDropDown="0" showInputMessage="1" showErrorMessage="1" allowBlank="1" prompt="Optional: - Please enter dependent's middle initial." type="custom">
      <formula1>AND(EXACT(AX5,AX5),LEN(AX5)=1)</formula1>
    </dataValidation>
    <dataValidation sqref="AF6" showDropDown="0" showInputMessage="1" showErrorMessage="0" allowBlank="1" prompt="Optional: - Please select FLSA Classification." type="list">
      <formula1>"Exempt,Non-Exempt"</formula1>
    </dataValidation>
    <dataValidation sqref="AA5:AA1021" showDropDown="0" showInputMessage="1" showErrorMessage="1" allowBlank="1" prompt="Optional: - Please enter Employee Class." type="custom">
      <formula1>AND(GTE(LEN(AA5),MIN((1),(50))),LTE(LEN(AA5),MAX((1),(50))))</formula1>
    </dataValidation>
    <dataValidation sqref="U1101:U1264 V1022:V1100" showDropDown="0" showInputMessage="0" showErrorMessage="1" allowBlank="1" type="date" operator="greaterThanOrEqual">
      <formula1>32874.0</formula1>
    </dataValidation>
    <dataValidation sqref="BB5:BB1100" showDropDown="0" showInputMessage="1" showErrorMessage="0" allowBlank="1" prompt="Optional: - Please select dependent's gender." type="list">
      <formula1>"Male,Female"</formula1>
    </dataValidation>
  </dataValidations>
  <pageMargins left="0.7" right="0.7" top="0.75" bottom="0.75" header="0" footer="0"/>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DW3432"/>
  <sheetViews>
    <sheetView workbookViewId="0">
      <selection activeCell="A1" sqref="A1"/>
    </sheetView>
  </sheetViews>
  <sheetFormatPr baseColWidth="8" defaultColWidth="14.43" defaultRowHeight="15" customHeight="1"/>
  <cols>
    <col width="11.43" customWidth="1" style="86" min="1" max="4"/>
    <col width="16.86" customWidth="1" style="86" min="5" max="5"/>
    <col width="58" customWidth="1" style="86" min="6" max="6"/>
    <col width="7.71" customWidth="1" style="86" min="7" max="7"/>
    <col width="15.14" customWidth="1" style="86" min="8" max="9"/>
    <col width="8.859999999999999" customWidth="1" style="86" min="10" max="10"/>
    <col width="10.43" customWidth="1" style="86" min="11" max="11"/>
    <col width="13.29" customWidth="1" style="86" min="12" max="12"/>
    <col width="8.859999999999999" customWidth="1" style="86" min="13" max="13"/>
    <col width="47.86" customWidth="1" style="86" min="14" max="14"/>
    <col width="8.859999999999999" customWidth="1" style="86" min="15" max="15"/>
    <col width="20.43" customWidth="1" style="86" min="16" max="16"/>
    <col width="15.86" customWidth="1" style="86" min="17" max="17"/>
    <col width="8.859999999999999" customWidth="1" style="86" min="18" max="23"/>
    <col width="42.14" customWidth="1" style="86" min="24" max="24"/>
    <col width="68.70999999999999" customWidth="1" style="86" min="25" max="25"/>
    <col width="8.859999999999999" customWidth="1" style="86" min="26" max="26"/>
    <col width="24.43" customWidth="1" style="86" min="27" max="27"/>
    <col width="8.859999999999999" customWidth="1" style="86" min="28" max="31"/>
    <col width="12.14" customWidth="1" style="86" min="32" max="32"/>
    <col width="20" customWidth="1" style="86" min="33" max="33"/>
    <col width="13.14" customWidth="1" style="86" min="34" max="34"/>
    <col width="25.29" customWidth="1" style="86" min="35" max="35"/>
    <col width="11.86" customWidth="1" style="86" min="36" max="36"/>
    <col width="15.43" customWidth="1" style="86" min="37" max="37"/>
    <col width="11.43" customWidth="1" style="86" min="38" max="38"/>
    <col width="18" customWidth="1" style="86" min="39" max="39"/>
    <col width="12.14" customWidth="1" style="86" min="40" max="40"/>
    <col width="16.71" customWidth="1" style="86" min="41" max="41"/>
    <col width="4.43" customWidth="1" style="86" min="42" max="42"/>
    <col width="22" customWidth="1" style="86" min="43" max="43"/>
    <col width="8.859999999999999" customWidth="1" style="86" min="44" max="45"/>
    <col width="37.29" customWidth="1" style="86" min="46" max="46"/>
    <col width="58" customWidth="1" style="86" min="47" max="47"/>
    <col width="25.71" customWidth="1" style="86" min="48" max="48"/>
    <col width="8.859999999999999" customWidth="1" style="86" min="49" max="51"/>
    <col width="27.43" customWidth="1" style="86" min="52" max="52"/>
    <col width="8.859999999999999" customWidth="1" style="86" min="53" max="55"/>
    <col width="12.29" customWidth="1" style="86" min="56" max="56"/>
    <col width="15.71" customWidth="1" style="86" min="57" max="57"/>
    <col width="16" customWidth="1" style="86" min="58" max="58"/>
    <col width="18" customWidth="1" style="86" min="59" max="59"/>
    <col width="16.43" customWidth="1" style="86" min="60" max="60"/>
    <col width="15.29" customWidth="1" style="86" min="61" max="61"/>
    <col width="14.14" customWidth="1" style="86" min="62" max="62"/>
    <col width="20" customWidth="1" style="86" min="63" max="63"/>
    <col width="15.29" customWidth="1" style="86" min="64" max="64"/>
    <col width="14.71" customWidth="1" style="86" min="65" max="65"/>
    <col width="13.43" customWidth="1" style="86" min="66" max="66"/>
    <col width="8.859999999999999" customWidth="1" style="86" min="67" max="72"/>
    <col width="19.71" customWidth="1" style="86" min="73" max="73"/>
    <col width="8.859999999999999" customWidth="1" style="86" min="74" max="74"/>
    <col width="27.86" customWidth="1" style="86" min="75" max="75"/>
    <col width="8.859999999999999" customWidth="1" style="86" min="76" max="78"/>
    <col width="29.29" customWidth="1" style="86" min="79" max="79"/>
    <col width="15.43" customWidth="1" style="86" min="80" max="80"/>
    <col width="18" customWidth="1" style="86" min="81" max="81"/>
    <col width="13.86" customWidth="1" style="86" min="82" max="82"/>
    <col width="16.43" customWidth="1" style="86" min="83" max="83"/>
    <col width="15" customWidth="1" style="86" min="84" max="84"/>
    <col width="8.859999999999999" customWidth="1" style="86" min="85" max="85"/>
    <col width="17.43" customWidth="1" style="86" min="86" max="86"/>
    <col width="8.859999999999999" customWidth="1" style="86" min="87" max="88"/>
    <col width="16.29" customWidth="1" style="86" min="89" max="89"/>
    <col width="9.43" customWidth="1" style="86" min="90" max="90"/>
    <col width="14.29" customWidth="1" style="86" min="91" max="91"/>
    <col width="8.859999999999999" customWidth="1" style="86" min="92" max="92"/>
    <col width="24.43" customWidth="1" style="86" min="93" max="93"/>
    <col width="8.859999999999999" customWidth="1" style="86" min="94" max="103"/>
    <col width="19.43" customWidth="1" style="86" min="104" max="104"/>
    <col width="8.859999999999999" customWidth="1" style="86" min="105" max="108"/>
    <col width="19.29" customWidth="1" style="86" min="109" max="109"/>
    <col width="8.859999999999999" customWidth="1" style="86" min="110" max="127"/>
  </cols>
  <sheetData>
    <row r="1" ht="14.25" customHeight="1" s="86">
      <c r="A1" s="45" t="inlineStr">
        <is>
          <t>AK</t>
        </is>
      </c>
      <c r="C1" s="46" t="inlineStr">
        <is>
          <t>State_Codes</t>
        </is>
      </c>
      <c r="E1" s="47" t="inlineStr">
        <is>
          <t>State</t>
        </is>
      </c>
      <c r="F1" s="47" t="inlineStr">
        <is>
          <t>County</t>
        </is>
      </c>
      <c r="G1" s="48" t="n"/>
      <c r="H1" s="46" t="inlineStr">
        <is>
          <t>State_City_Data</t>
        </is>
      </c>
      <c r="K1" s="48" t="inlineStr">
        <is>
          <t>State</t>
        </is>
      </c>
      <c r="L1" s="46" t="inlineStr">
        <is>
          <t>State_Criteria</t>
        </is>
      </c>
      <c r="N1" s="48" t="inlineStr">
        <is>
          <t>County</t>
        </is>
      </c>
      <c r="O1" s="48" t="n"/>
      <c r="P1" s="46" t="inlineStr">
        <is>
          <t>City_Unique</t>
        </is>
      </c>
      <c r="X1" s="49" t="inlineStr">
        <is>
          <t>Cell Address</t>
        </is>
      </c>
      <c r="Y1" s="49" t="inlineStr">
        <is>
          <t>Error Description</t>
        </is>
      </c>
      <c r="AA1" s="46" t="inlineStr">
        <is>
          <t>Error_Sheet_Format_Copy</t>
        </is>
      </c>
      <c r="AF1" s="100" t="inlineStr">
        <is>
          <t>Dependent_5</t>
        </is>
      </c>
      <c r="AG1" s="88" t="n"/>
      <c r="AH1" s="88" t="n"/>
      <c r="AI1" s="88" t="n"/>
      <c r="AJ1" s="88" t="n"/>
      <c r="AK1" s="88" t="n"/>
      <c r="AL1" s="88" t="n"/>
      <c r="AM1" s="88" t="n"/>
      <c r="AN1" s="88" t="n"/>
      <c r="AO1" s="89" t="n"/>
      <c r="AQ1" s="52" t="inlineStr">
        <is>
          <t>Dependent_Format</t>
        </is>
      </c>
      <c r="AT1" s="53" t="inlineStr">
        <is>
          <t>Insert Custom Column From Column No.</t>
        </is>
      </c>
      <c r="AU1" s="53">
        <f>MATCH("COUNTY*",'Employee Details'!$A$4:$AQ$4,0)+1</f>
        <v/>
      </c>
      <c r="AV1" s="46" t="inlineStr">
        <is>
          <t>Col_No_Insert</t>
        </is>
      </c>
      <c r="AY1" s="39" t="n"/>
      <c r="AZ1" s="46" t="inlineStr">
        <is>
          <t>Format_Heading_Copy_Paste</t>
        </is>
      </c>
      <c r="BD1" s="101" t="inlineStr">
        <is>
          <t>Dependent_3</t>
        </is>
      </c>
      <c r="BE1" s="96" t="n"/>
      <c r="BF1" s="96" t="n"/>
      <c r="BG1" s="96" t="n"/>
      <c r="BH1" s="96" t="n"/>
      <c r="BI1" s="96" t="n"/>
      <c r="BJ1" s="96" t="n"/>
      <c r="BK1" s="96" t="n"/>
      <c r="BL1" s="96" t="n"/>
      <c r="BM1" s="96" t="n"/>
      <c r="BN1" s="97" t="n"/>
      <c r="BU1" s="31" t="n"/>
      <c r="BV1" s="55" t="n"/>
      <c r="BW1" s="46" t="inlineStr">
        <is>
          <t>Custom_CopyPaste</t>
        </is>
      </c>
      <c r="CA1" s="56" t="inlineStr">
        <is>
          <t>Column Name</t>
        </is>
      </c>
      <c r="CB1" s="56" t="inlineStr">
        <is>
          <t>Column Number</t>
        </is>
      </c>
      <c r="CC1" s="56" t="inlineStr">
        <is>
          <t>Custom Formatting</t>
        </is>
      </c>
      <c r="CD1" s="56" t="inlineStr">
        <is>
          <t>Check Formula</t>
        </is>
      </c>
      <c r="CE1" s="56" t="inlineStr">
        <is>
          <t>Condition Symbel</t>
        </is>
      </c>
      <c r="CF1" s="56" t="inlineStr">
        <is>
          <t>Condition Value</t>
        </is>
      </c>
      <c r="CH1" s="57" t="inlineStr">
        <is>
          <t>Conversion_Range</t>
        </is>
      </c>
      <c r="CK1" s="53" t="inlineStr">
        <is>
          <t>Dependent*DOB*</t>
        </is>
      </c>
      <c r="CL1" s="53">
        <f>IF(ISERROR(MATCH(CK1,'Employee Details'!$4:$4,0)),0,MATCH(CK1,'Employee Details'!$4:$4,0))</f>
        <v/>
      </c>
      <c r="CM1" s="53" t="inlineStr">
        <is>
          <t>mm\/dd\/yyyy</t>
        </is>
      </c>
      <c r="CO1" s="57" t="inlineStr">
        <is>
          <t>Depen_Conversion_Range</t>
        </is>
      </c>
      <c r="DE1" s="58" t="inlineStr">
        <is>
          <t>Protection Password</t>
        </is>
      </c>
      <c r="DJ1" s="53" t="inlineStr">
        <is>
          <t>Employee Prefix</t>
        </is>
      </c>
      <c r="DK1" s="53" t="inlineStr">
        <is>
          <t>Employee Suffix</t>
        </is>
      </c>
      <c r="DL1" s="53" t="inlineStr">
        <is>
          <t xml:space="preserve"> Employee Gender</t>
        </is>
      </c>
      <c r="DM1" s="53" t="inlineStr">
        <is>
          <t>Employee Tobacco usage in last 12 months</t>
        </is>
      </c>
      <c r="DN1" s="53" t="inlineStr">
        <is>
          <t>Employment
Status*</t>
        </is>
      </c>
      <c r="DO1" s="53" t="inlineStr">
        <is>
          <t>Termination Reason</t>
        </is>
      </c>
      <c r="DP1" s="53" t="inlineStr">
        <is>
          <t>Employment Type I*</t>
        </is>
      </c>
      <c r="DQ1" s="53" t="inlineStr">
        <is>
          <t>Pay Type*</t>
        </is>
      </c>
      <c r="DR1" s="53" t="inlineStr">
        <is>
          <t>Pay Frequency*</t>
        </is>
      </c>
      <c r="DS1" s="53" t="inlineStr">
        <is>
          <t>Employment Type II</t>
        </is>
      </c>
      <c r="DT1" s="53" t="inlineStr">
        <is>
          <t>Employment Classification I</t>
        </is>
      </c>
      <c r="DU1" s="53" t="inlineStr">
        <is>
          <t>Employment Classification II</t>
        </is>
      </c>
      <c r="DV1" s="53" t="inlineStr">
        <is>
          <t>Dep Rrelation</t>
        </is>
      </c>
      <c r="DW1" s="53" t="inlineStr">
        <is>
          <t>Dep Disable</t>
        </is>
      </c>
    </row>
    <row r="2" ht="14.25" customHeight="1" s="86">
      <c r="A2" s="45" t="inlineStr">
        <is>
          <t>AL</t>
        </is>
      </c>
      <c r="E2" s="53" t="inlineStr">
        <is>
          <t>AK</t>
        </is>
      </c>
      <c r="F2" s="53" t="inlineStr">
        <is>
          <t>ALEUTIANS EAST</t>
        </is>
      </c>
      <c r="G2" s="59" t="n"/>
      <c r="K2" s="60" t="n"/>
      <c r="O2" s="59" t="n"/>
      <c r="P2" s="46" t="inlineStr">
        <is>
          <t>City_Unique_Val</t>
        </is>
      </c>
      <c r="X2" s="61" t="n"/>
      <c r="Y2" s="61" t="n"/>
      <c r="AF2" s="40" t="inlineStr">
        <is>
          <t>Dependent 1 Prefix</t>
        </is>
      </c>
      <c r="AG2" s="40" t="inlineStr">
        <is>
          <t>Dependent 1 First Name*</t>
        </is>
      </c>
      <c r="AH2" s="40" t="inlineStr">
        <is>
          <t>Dependent 1 Middle Initial</t>
        </is>
      </c>
      <c r="AI2" s="40" t="inlineStr">
        <is>
          <t>Dependent 1 Last Name*</t>
        </is>
      </c>
      <c r="AJ2" s="40" t="inlineStr">
        <is>
          <t>Dependent 1 Suffix</t>
        </is>
      </c>
      <c r="AK2" s="40" t="inlineStr">
        <is>
          <t>Dependent 1 DOB*</t>
        </is>
      </c>
      <c r="AL2" s="40" t="inlineStr">
        <is>
          <t>Dependent 1 Gender*</t>
        </is>
      </c>
      <c r="AM2" s="40" t="inlineStr">
        <is>
          <t>Dependent 1 Tobacco usage in last 12 months</t>
        </is>
      </c>
      <c r="AN2" s="40" t="inlineStr">
        <is>
          <t>Dependent 1 Relationship*</t>
        </is>
      </c>
      <c r="AO2" s="40" t="inlineStr">
        <is>
          <t>Dependent 1 is Disabled</t>
        </is>
      </c>
      <c r="AQ2" s="46" t="inlineStr">
        <is>
          <t>Dependent_Val</t>
        </is>
      </c>
      <c r="AT2" s="53" t="inlineStr">
        <is>
          <t>Data Starts From</t>
        </is>
      </c>
      <c r="AU2" s="53">
        <f>Col_Heading+1</f>
        <v/>
      </c>
      <c r="AV2" s="46" t="inlineStr">
        <is>
          <t>Data_Starts</t>
        </is>
      </c>
      <c r="BD2" s="62" t="inlineStr">
        <is>
          <t>Prefix</t>
        </is>
      </c>
      <c r="BE2" s="63" t="inlineStr">
        <is>
          <t>First Name*</t>
        </is>
      </c>
      <c r="BF2" s="63" t="inlineStr">
        <is>
          <t>Middle Initial</t>
        </is>
      </c>
      <c r="BG2" s="63" t="inlineStr">
        <is>
          <t>Last Name*</t>
        </is>
      </c>
      <c r="BH2" s="63" t="inlineStr">
        <is>
          <t>Suffix</t>
        </is>
      </c>
      <c r="BI2" s="63" t="inlineStr">
        <is>
          <t>DOB*</t>
        </is>
      </c>
      <c r="BJ2" s="63" t="inlineStr">
        <is>
          <t>Gender*</t>
        </is>
      </c>
      <c r="BK2" s="64" t="inlineStr">
        <is>
          <t>Tobacco usage in last 12 months</t>
        </is>
      </c>
      <c r="BL2" s="63" t="inlineStr">
        <is>
          <t>Relationship*</t>
        </is>
      </c>
      <c r="BM2" s="63" t="inlineStr">
        <is>
          <t>Is Disabled</t>
        </is>
      </c>
      <c r="BN2" s="65" t="inlineStr">
        <is>
          <t>Is Married</t>
        </is>
      </c>
      <c r="BU2" s="42" t="n"/>
      <c r="BV2" s="42" t="n"/>
      <c r="BW2" s="46" t="inlineStr">
        <is>
          <t>Custom_CopyPaste_Validation</t>
        </is>
      </c>
      <c r="CA2" s="53" t="inlineStr">
        <is>
          <t>Employee Date of Birth*</t>
        </is>
      </c>
      <c r="CB2" s="53">
        <f>MATCH(CA2,'Employee Details'!$4:$4,0)</f>
        <v/>
      </c>
      <c r="CC2" s="53" t="inlineStr">
        <is>
          <t>mm\/dd\/yyyy</t>
        </is>
      </c>
      <c r="CD2" s="53" t="inlineStr">
        <is>
          <t>Isdate</t>
        </is>
      </c>
      <c r="DE2" s="66" t="inlineStr">
        <is>
          <t>hcentivephix</t>
        </is>
      </c>
      <c r="DJ2" s="53" t="inlineStr">
        <is>
          <t>Mr.</t>
        </is>
      </c>
      <c r="DK2" s="53" t="inlineStr">
        <is>
          <t>Jr.</t>
        </is>
      </c>
      <c r="DL2" s="53" t="inlineStr">
        <is>
          <t>Male</t>
        </is>
      </c>
      <c r="DM2" s="53" t="inlineStr">
        <is>
          <t>Yes</t>
        </is>
      </c>
      <c r="DN2" s="53" t="inlineStr">
        <is>
          <t>Active</t>
        </is>
      </c>
      <c r="DO2" s="53" t="inlineStr">
        <is>
          <t>Death</t>
        </is>
      </c>
      <c r="DP2" s="53" t="inlineStr">
        <is>
          <t>Full Time</t>
        </is>
      </c>
      <c r="DQ2" s="53" t="inlineStr">
        <is>
          <t>Salaried</t>
        </is>
      </c>
      <c r="DR2" s="53" t="inlineStr">
        <is>
          <t>Monthly</t>
        </is>
      </c>
      <c r="DS2" s="53" t="inlineStr">
        <is>
          <t>Permanent</t>
        </is>
      </c>
      <c r="DT2" s="53" t="inlineStr">
        <is>
          <t>Union</t>
        </is>
      </c>
      <c r="DU2" s="53" t="inlineStr">
        <is>
          <t>Exempt</t>
        </is>
      </c>
      <c r="DV2" s="53" t="inlineStr">
        <is>
          <t>Spouse</t>
        </is>
      </c>
      <c r="DW2" s="53" t="inlineStr">
        <is>
          <t>Yes</t>
        </is>
      </c>
    </row>
    <row r="3" ht="14.25" customHeight="1" s="86">
      <c r="A3" s="45" t="inlineStr">
        <is>
          <t>AR</t>
        </is>
      </c>
      <c r="E3" s="53" t="inlineStr">
        <is>
          <t>AK</t>
        </is>
      </c>
      <c r="F3" s="53" t="inlineStr">
        <is>
          <t>ALEUTIANS WEST</t>
        </is>
      </c>
      <c r="G3" s="59" t="n"/>
      <c r="K3" s="67" t="n"/>
      <c r="O3" s="59" t="n"/>
      <c r="P3" s="46" t="inlineStr">
        <is>
          <t>Unique_County_Copy</t>
        </is>
      </c>
      <c r="X3" s="61" t="n"/>
      <c r="Y3" s="61" t="n"/>
      <c r="AF3" s="42" t="n"/>
      <c r="AG3" s="42" t="n"/>
      <c r="AH3" s="42" t="n"/>
      <c r="AI3" s="42" t="n"/>
      <c r="AJ3" s="42" t="n"/>
      <c r="AK3" s="43" t="n"/>
      <c r="AL3" s="42" t="n"/>
      <c r="AM3" s="42" t="n"/>
      <c r="AN3" s="23" t="n"/>
      <c r="AO3" s="23" t="n"/>
      <c r="AQ3" s="46" t="inlineStr">
        <is>
          <t>Dependent_Format_Alter</t>
        </is>
      </c>
      <c r="AT3" s="53" t="inlineStr">
        <is>
          <t>Column Heading Row No.</t>
        </is>
      </c>
      <c r="AU3" s="53" t="n">
        <v>4</v>
      </c>
      <c r="AV3" s="46" t="inlineStr">
        <is>
          <t>Col_Heading</t>
        </is>
      </c>
      <c r="BD3" s="42" t="n"/>
      <c r="BE3" s="42" t="n"/>
      <c r="BF3" s="42" t="n"/>
      <c r="BG3" s="42" t="n"/>
      <c r="BH3" s="42" t="n"/>
      <c r="BI3" s="43" t="n"/>
      <c r="BJ3" s="42" t="n"/>
      <c r="BK3" s="42" t="n"/>
      <c r="BL3" s="23" t="n"/>
      <c r="BM3" s="23" t="n"/>
      <c r="BN3" s="23" t="n"/>
      <c r="CA3" s="53" t="inlineStr">
        <is>
          <t>Date of Hire*</t>
        </is>
      </c>
      <c r="CB3" s="53">
        <f>MATCH(CA3,'Employee Details'!$4:$4,0)</f>
        <v/>
      </c>
      <c r="CC3" s="53" t="inlineStr">
        <is>
          <t>mm\/dd\/yyyy</t>
        </is>
      </c>
      <c r="CD3" s="53" t="inlineStr">
        <is>
          <t>Isdate</t>
        </is>
      </c>
      <c r="CK3" s="53" t="inlineStr">
        <is>
          <t>Dependent*Prefix</t>
        </is>
      </c>
      <c r="CL3" s="53">
        <f>IF(ISERROR(MATCH(CK3,'Employee Details'!$4:$4,0)),0,MATCH(CK3,'Employee Details'!$4:$4,0))</f>
        <v/>
      </c>
      <c r="CO3" s="57" t="inlineStr">
        <is>
          <t>Depen_FirstPrefixColNo</t>
        </is>
      </c>
      <c r="DJ3" s="53" t="inlineStr">
        <is>
          <t>Mrs.</t>
        </is>
      </c>
      <c r="DK3" s="53" t="inlineStr">
        <is>
          <t>Sr.</t>
        </is>
      </c>
      <c r="DL3" s="53" t="inlineStr">
        <is>
          <t>Female</t>
        </is>
      </c>
      <c r="DM3" s="53" t="inlineStr">
        <is>
          <t>NO</t>
        </is>
      </c>
      <c r="DN3" s="53" t="inlineStr">
        <is>
          <t>Terminated</t>
        </is>
      </c>
      <c r="DO3" s="53" t="inlineStr">
        <is>
          <t>Retirement</t>
        </is>
      </c>
      <c r="DP3" s="53" t="inlineStr">
        <is>
          <t>Part Time</t>
        </is>
      </c>
      <c r="DQ3" s="53" t="inlineStr">
        <is>
          <t>Hourly</t>
        </is>
      </c>
      <c r="DR3" s="53" t="inlineStr">
        <is>
          <t>Semi-Monthly</t>
        </is>
      </c>
      <c r="DS3" s="53" t="inlineStr">
        <is>
          <t>Temporary</t>
        </is>
      </c>
      <c r="DT3" s="53" t="inlineStr">
        <is>
          <t>Non-Union</t>
        </is>
      </c>
      <c r="DU3" s="53" t="inlineStr">
        <is>
          <t>Non-Exempt</t>
        </is>
      </c>
      <c r="DV3" s="53" t="inlineStr">
        <is>
          <t>Child</t>
        </is>
      </c>
      <c r="DW3" s="53" t="inlineStr">
        <is>
          <t>No</t>
        </is>
      </c>
    </row>
    <row r="4" ht="14.25" customHeight="1" s="86">
      <c r="A4" s="45" t="inlineStr">
        <is>
          <t>AS</t>
        </is>
      </c>
      <c r="E4" s="53" t="inlineStr">
        <is>
          <t>AK</t>
        </is>
      </c>
      <c r="F4" s="53" t="inlineStr">
        <is>
          <t>ANCHORAGE</t>
        </is>
      </c>
      <c r="G4" s="59" t="n"/>
      <c r="K4" s="67" t="n"/>
      <c r="O4" s="59" t="n"/>
      <c r="X4" s="61" t="n"/>
      <c r="Y4" s="61" t="n"/>
      <c r="AT4" s="53" t="inlineStr">
        <is>
          <t>Custom Benefits Add Row No.</t>
        </is>
      </c>
      <c r="AU4" s="53">
        <f>Col_Heading-1</f>
        <v/>
      </c>
      <c r="AV4" s="46" t="inlineStr">
        <is>
          <t>Custom_Add_Row</t>
        </is>
      </c>
      <c r="CA4" s="53" t="inlineStr">
        <is>
          <t>Termination Date</t>
        </is>
      </c>
      <c r="CB4" s="53">
        <f>MATCH(CA4,'Employee Details'!$4:$4,0)</f>
        <v/>
      </c>
      <c r="CC4" s="53" t="inlineStr">
        <is>
          <t>mm\/dd\/yyyy</t>
        </is>
      </c>
      <c r="CD4" s="53" t="inlineStr">
        <is>
          <t>Isdate</t>
        </is>
      </c>
      <c r="DJ4" s="53" t="inlineStr">
        <is>
          <t>Ms.</t>
        </is>
      </c>
      <c r="DK4" s="53" t="inlineStr">
        <is>
          <t>I</t>
        </is>
      </c>
      <c r="DL4" s="53" t="inlineStr">
        <is>
          <t>M</t>
        </is>
      </c>
      <c r="DO4" s="53" t="inlineStr">
        <is>
          <t>Voluntary Termination of Employment</t>
        </is>
      </c>
      <c r="DP4" s="53" t="inlineStr">
        <is>
          <t>Other</t>
        </is>
      </c>
      <c r="DR4" s="53" t="inlineStr">
        <is>
          <t>Bi-Weekly</t>
        </is>
      </c>
      <c r="DV4" s="53" t="inlineStr">
        <is>
          <t>Domestic Partner</t>
        </is>
      </c>
    </row>
    <row r="5" ht="14.25" customHeight="1" s="86">
      <c r="A5" s="45" t="inlineStr">
        <is>
          <t>AZ</t>
        </is>
      </c>
      <c r="E5" s="53" t="inlineStr">
        <is>
          <t>AK</t>
        </is>
      </c>
      <c r="F5" s="53" t="inlineStr">
        <is>
          <t>BETHEL</t>
        </is>
      </c>
      <c r="G5" s="59" t="n"/>
      <c r="K5" s="67" t="n"/>
      <c r="O5" s="59" t="n"/>
      <c r="X5" s="61" t="n"/>
      <c r="Y5" s="61" t="n"/>
      <c r="AT5" s="53" t="inlineStr">
        <is>
          <t>State Validation Column Number</t>
        </is>
      </c>
      <c r="AU5" s="53">
        <f>MATCH("State(Abbreviation)*",'Employee Details'!$A$4:$AQ$4,0)</f>
        <v/>
      </c>
      <c r="AV5" s="46" t="inlineStr">
        <is>
          <t>State_Val_Col_Num</t>
        </is>
      </c>
      <c r="CA5" s="53" t="inlineStr">
        <is>
          <t>Annual Salary(Digits)</t>
        </is>
      </c>
      <c r="CB5" s="53" t="n">
        <v>20</v>
      </c>
      <c r="CC5" s="22" t="inlineStr">
        <is>
          <t>0.00</t>
        </is>
      </c>
      <c r="CD5" s="53" t="inlineStr">
        <is>
          <t>Isnumber</t>
        </is>
      </c>
      <c r="CE5" s="53" t="inlineStr">
        <is>
          <t>&lt;=</t>
        </is>
      </c>
      <c r="CF5" s="53" t="n">
        <v>10</v>
      </c>
      <c r="DJ5" s="53" t="inlineStr">
        <is>
          <t>Miss.</t>
        </is>
      </c>
      <c r="DK5" s="53" t="inlineStr">
        <is>
          <t>II</t>
        </is>
      </c>
      <c r="DL5" s="53" t="inlineStr">
        <is>
          <t>F</t>
        </is>
      </c>
      <c r="DO5" s="53" t="inlineStr">
        <is>
          <t>Involuntary Termination of Employment</t>
        </is>
      </c>
      <c r="DR5" s="53" t="inlineStr">
        <is>
          <t>Weekly</t>
        </is>
      </c>
      <c r="DV5" s="53" t="inlineStr">
        <is>
          <t>Other dependent</t>
        </is>
      </c>
    </row>
    <row r="6" ht="14.25" customHeight="1" s="86">
      <c r="A6" s="45" t="inlineStr">
        <is>
          <t>CA</t>
        </is>
      </c>
      <c r="E6" s="53" t="inlineStr">
        <is>
          <t>AK</t>
        </is>
      </c>
      <c r="F6" s="53" t="inlineStr">
        <is>
          <t>BRISTOL BAY</t>
        </is>
      </c>
      <c r="G6" s="59" t="n"/>
      <c r="K6" s="67" t="n"/>
      <c r="O6" s="59" t="n"/>
      <c r="X6" s="61" t="n"/>
      <c r="Y6" s="61" t="n"/>
      <c r="AT6" s="53" t="inlineStr">
        <is>
          <t>L_Row and L_Col Search Range</t>
        </is>
      </c>
      <c r="AV6" s="46" t="inlineStr">
        <is>
          <t>lrow_lcol_search_range</t>
        </is>
      </c>
      <c r="CA6" s="53" t="inlineStr">
        <is>
          <t>Working Hours per Week(Digits)**</t>
        </is>
      </c>
      <c r="CB6" s="53">
        <f>MATCH(CA6,'Employee Details'!$4:$4,0)</f>
        <v/>
      </c>
      <c r="CC6" s="53" t="inlineStr">
        <is>
          <t>General</t>
        </is>
      </c>
      <c r="CD6" s="53" t="inlineStr">
        <is>
          <t>Isnumber</t>
        </is>
      </c>
      <c r="CE6" s="53" t="inlineStr">
        <is>
          <t>&lt;=</t>
        </is>
      </c>
      <c r="CF6" s="53" t="n">
        <v>2</v>
      </c>
      <c r="DJ6" s="53" t="inlineStr">
        <is>
          <t>Dr.</t>
        </is>
      </c>
      <c r="DK6" s="53" t="inlineStr">
        <is>
          <t>III</t>
        </is>
      </c>
      <c r="DO6" s="53" t="inlineStr">
        <is>
          <t>Permanent Disability</t>
        </is>
      </c>
    </row>
    <row r="7" ht="14.25" customHeight="1" s="86">
      <c r="A7" s="45" t="inlineStr">
        <is>
          <t>CO</t>
        </is>
      </c>
      <c r="E7" s="53" t="inlineStr">
        <is>
          <t>AK</t>
        </is>
      </c>
      <c r="F7" s="53" t="inlineStr">
        <is>
          <t>DENALI</t>
        </is>
      </c>
      <c r="G7" s="59" t="n"/>
      <c r="K7" s="67" t="n"/>
      <c r="O7" s="59" t="n"/>
      <c r="X7" s="61" t="n"/>
      <c r="Y7" s="61" t="n"/>
      <c r="AT7" s="53" t="inlineStr">
        <is>
          <t>Employment Type Column Number</t>
        </is>
      </c>
      <c r="AU7" s="53">
        <f>MATCH("Employment Type I*",'Employee Details'!$A$4:$AQ$4,0)</f>
        <v/>
      </c>
      <c r="AV7" s="46" t="inlineStr">
        <is>
          <t>Employment_Type</t>
        </is>
      </c>
      <c r="CA7" s="53" t="inlineStr">
        <is>
          <t>Hourly Pay Rate**</t>
        </is>
      </c>
      <c r="CB7" s="53">
        <f>MATCH(CA7,'Employee Details'!$4:$4,0)</f>
        <v/>
      </c>
      <c r="CC7" s="53" t="inlineStr">
        <is>
          <t>General</t>
        </is>
      </c>
      <c r="CD7" s="53" t="inlineStr">
        <is>
          <t>Isnumber</t>
        </is>
      </c>
      <c r="CE7" s="53" t="inlineStr">
        <is>
          <t>&lt;=</t>
        </is>
      </c>
      <c r="CF7" s="53" t="n">
        <v>5</v>
      </c>
      <c r="DK7" s="53" t="inlineStr">
        <is>
          <t>IV</t>
        </is>
      </c>
    </row>
    <row r="8" ht="14.25" customHeight="1" s="86">
      <c r="A8" s="45" t="inlineStr">
        <is>
          <t>CT</t>
        </is>
      </c>
      <c r="E8" s="53" t="inlineStr">
        <is>
          <t>AK</t>
        </is>
      </c>
      <c r="F8" s="53" t="inlineStr">
        <is>
          <t>DILLINGHAM</t>
        </is>
      </c>
      <c r="G8" s="59" t="n"/>
      <c r="K8" s="67" t="n"/>
      <c r="O8" s="59" t="n"/>
      <c r="X8" s="61" t="n"/>
      <c r="Y8" s="61" t="n"/>
      <c r="AT8" s="53" t="inlineStr">
        <is>
          <t>Validation Fill Range</t>
        </is>
      </c>
      <c r="AU8" s="53" t="n">
        <v>1100</v>
      </c>
      <c r="AV8" s="46" t="inlineStr">
        <is>
          <t>Validation_Fill_Range</t>
        </is>
      </c>
      <c r="CA8" s="53" t="inlineStr">
        <is>
          <t>Phone Number(Digits)</t>
        </is>
      </c>
      <c r="CB8" s="53">
        <f>MATCH(CA8,'Employee Details'!$4:$4,0)</f>
        <v/>
      </c>
      <c r="CC8" s="53" t="inlineStr">
        <is>
          <t>General</t>
        </is>
      </c>
      <c r="CD8" s="53" t="inlineStr">
        <is>
          <t>custom</t>
        </is>
      </c>
      <c r="CE8" s="53" t="inlineStr">
        <is>
          <t>&lt;=</t>
        </is>
      </c>
      <c r="CF8" s="53" t="n">
        <v>10</v>
      </c>
    </row>
    <row r="9" ht="14.25" customHeight="1" s="86">
      <c r="A9" s="45" t="inlineStr">
        <is>
          <t>DC</t>
        </is>
      </c>
      <c r="E9" s="53" t="inlineStr">
        <is>
          <t>AK</t>
        </is>
      </c>
      <c r="F9" s="53" t="inlineStr">
        <is>
          <t>FAIRBANKS NORTH STAR</t>
        </is>
      </c>
      <c r="G9" s="59" t="n"/>
      <c r="K9" s="67" t="n"/>
      <c r="O9" s="59" t="n"/>
      <c r="X9" s="61" t="n"/>
      <c r="Y9" s="61" t="n"/>
      <c r="AT9" s="53" t="inlineStr">
        <is>
          <t>Others (Employement-Type)* (Col No.)</t>
        </is>
      </c>
      <c r="AU9" s="53">
        <f>MATCH("Others (Employment-Type I)*",'Employee Details'!$A$4:$AQ$4,0)</f>
        <v/>
      </c>
      <c r="AV9" s="46" t="inlineStr">
        <is>
          <t>Oth_Employement_Type</t>
        </is>
      </c>
    </row>
    <row r="10" ht="14.25" customHeight="1" s="86">
      <c r="A10" s="45" t="inlineStr">
        <is>
          <t>DE</t>
        </is>
      </c>
      <c r="E10" s="53" t="inlineStr">
        <is>
          <t>AK</t>
        </is>
      </c>
      <c r="F10" s="53" t="inlineStr">
        <is>
          <t>HAINES</t>
        </is>
      </c>
      <c r="G10" s="59" t="n"/>
      <c r="K10" s="67" t="n"/>
      <c r="O10" s="59" t="n"/>
      <c r="X10" s="61" t="n"/>
      <c r="Y10" s="61" t="n"/>
      <c r="AT10" s="53" t="inlineStr">
        <is>
          <t>Employment Status* Col No</t>
        </is>
      </c>
      <c r="AU10" s="53">
        <f>MATCH("Employment
Status*",'Employee Details'!$A$4:$AQ$4,0)</f>
        <v/>
      </c>
      <c r="AV10" s="46" t="inlineStr">
        <is>
          <t>Employment_Status_ColNo</t>
        </is>
      </c>
    </row>
    <row r="11" ht="14.25" customHeight="1" s="86">
      <c r="A11" s="45" t="inlineStr">
        <is>
          <t>FL</t>
        </is>
      </c>
      <c r="E11" s="53" t="inlineStr">
        <is>
          <t>AK</t>
        </is>
      </c>
      <c r="F11" s="53" t="inlineStr">
        <is>
          <t>HOONAH ANGOON</t>
        </is>
      </c>
      <c r="G11" s="59" t="n"/>
      <c r="K11" s="67" t="n"/>
      <c r="O11" s="59" t="n"/>
      <c r="X11" s="61" t="n"/>
      <c r="Y11" s="61" t="n"/>
      <c r="AT11" s="53" t="inlineStr">
        <is>
          <t>Termination Date Col No</t>
        </is>
      </c>
      <c r="AU11" s="53">
        <f>MATCH("Termination Date",'Employee Details'!$A$4:$AQ$4,0)</f>
        <v/>
      </c>
      <c r="AV11" s="46" t="inlineStr">
        <is>
          <t>Termination_Date_Col_No</t>
        </is>
      </c>
    </row>
    <row r="12" ht="14.25" customHeight="1" s="86">
      <c r="A12" s="45" t="inlineStr">
        <is>
          <t>FM</t>
        </is>
      </c>
      <c r="E12" s="53" t="inlineStr">
        <is>
          <t>AK</t>
        </is>
      </c>
      <c r="F12" s="53" t="inlineStr">
        <is>
          <t>JUNEAU</t>
        </is>
      </c>
      <c r="G12" s="59" t="n"/>
      <c r="K12" s="67" t="n"/>
      <c r="O12" s="59" t="n"/>
      <c r="X12" s="61" t="n"/>
      <c r="Y12" s="61" t="n"/>
      <c r="AT12" s="68" t="inlineStr">
        <is>
          <t>Termination Type Col No</t>
        </is>
      </c>
      <c r="AU12" s="68" t="inlineStr">
        <is>
          <t xml:space="preserve"> =MATCH("Termination Type",'Employee Details'!$A$4:$AG$4,0)</t>
        </is>
      </c>
      <c r="AV12" s="46" t="inlineStr">
        <is>
          <t>Termination_Type_Col_No</t>
        </is>
      </c>
    </row>
    <row r="13" ht="14.25" customHeight="1" s="86">
      <c r="A13" s="45" t="inlineStr">
        <is>
          <t>GA</t>
        </is>
      </c>
      <c r="E13" s="53" t="inlineStr">
        <is>
          <t>AK</t>
        </is>
      </c>
      <c r="F13" s="53" t="inlineStr">
        <is>
          <t>KENAI PENINSULA</t>
        </is>
      </c>
      <c r="G13" s="59" t="n"/>
      <c r="K13" s="67" t="n"/>
      <c r="O13" s="59" t="n"/>
      <c r="X13" s="61" t="n"/>
      <c r="Y13" s="61" t="n"/>
      <c r="AT13" s="53" t="inlineStr">
        <is>
          <t>Termination Reason</t>
        </is>
      </c>
      <c r="AU13" s="53">
        <f>MATCH("Termination Reason",'Employee Details'!$A$4:$AQ$4,0)</f>
        <v/>
      </c>
      <c r="AV13" s="46" t="inlineStr">
        <is>
          <t>Termination_Reason</t>
        </is>
      </c>
    </row>
    <row r="14" ht="14.25" customHeight="1" s="86">
      <c r="A14" s="45" t="inlineStr">
        <is>
          <t>GU</t>
        </is>
      </c>
      <c r="E14" s="53" t="inlineStr">
        <is>
          <t>AK</t>
        </is>
      </c>
      <c r="F14" s="53" t="inlineStr">
        <is>
          <t>KETCHIKAN GATEWAY</t>
        </is>
      </c>
      <c r="G14" s="59" t="n"/>
      <c r="K14" s="67" t="n"/>
      <c r="O14" s="59" t="n"/>
      <c r="X14" s="61" t="n"/>
      <c r="Y14" s="61" t="n"/>
      <c r="AT14" s="53" t="inlineStr">
        <is>
          <t>Working Hours per Week(Digits)**</t>
        </is>
      </c>
      <c r="AU14" s="53">
        <f>MATCH("Working Hours per Week(Digits)**",'Employee Details'!$A$4:$AQ$4,0)</f>
        <v/>
      </c>
      <c r="AV14" s="46" t="inlineStr">
        <is>
          <t>Working_Hours_per_Week</t>
        </is>
      </c>
    </row>
    <row r="15" ht="14.25" customHeight="1" s="86">
      <c r="A15" s="45" t="inlineStr">
        <is>
          <t>HI</t>
        </is>
      </c>
      <c r="E15" s="53" t="inlineStr">
        <is>
          <t>AK</t>
        </is>
      </c>
      <c r="F15" s="53" t="inlineStr">
        <is>
          <t>KODIAK ISLAND</t>
        </is>
      </c>
      <c r="G15" s="59" t="n"/>
      <c r="K15" s="67" t="n"/>
      <c r="O15" s="59" t="n"/>
      <c r="X15" s="61" t="n"/>
      <c r="Y15" s="61" t="n"/>
      <c r="AT15" s="53" t="inlineStr">
        <is>
          <t>COUNTY* Col No</t>
        </is>
      </c>
      <c r="AU15" s="53">
        <f>MATCH("COUNTY*",'Employee Details'!$A$4:$AQ$4,0)</f>
        <v/>
      </c>
      <c r="AV15" s="46" t="inlineStr">
        <is>
          <t>State_County</t>
        </is>
      </c>
    </row>
    <row r="16" ht="14.25" customHeight="1" s="86">
      <c r="A16" s="45" t="inlineStr">
        <is>
          <t>IA</t>
        </is>
      </c>
      <c r="E16" s="53" t="inlineStr">
        <is>
          <t>AK</t>
        </is>
      </c>
      <c r="F16" s="53" t="inlineStr">
        <is>
          <t>LAKE AND PENINSULA</t>
        </is>
      </c>
      <c r="G16" s="59" t="n"/>
      <c r="K16" s="67" t="n"/>
      <c r="O16" s="59" t="n"/>
      <c r="X16" s="61" t="n"/>
      <c r="Y16" s="61" t="n"/>
      <c r="AT16" s="53" t="inlineStr">
        <is>
          <t>Pay Type* Column Number</t>
        </is>
      </c>
      <c r="AU16" s="53">
        <f>MATCH("Pay Type*",'Employee Details'!$A$4:$AQ$4,0)</f>
        <v/>
      </c>
      <c r="AV16" s="46" t="inlineStr">
        <is>
          <t>Pay_Type_ColNo</t>
        </is>
      </c>
    </row>
    <row r="17" ht="14.25" customHeight="1" s="86">
      <c r="A17" s="45" t="inlineStr">
        <is>
          <t>ID</t>
        </is>
      </c>
      <c r="E17" s="53" t="inlineStr">
        <is>
          <t>AK</t>
        </is>
      </c>
      <c r="F17" s="53" t="inlineStr">
        <is>
          <t>MATANUSKA SUSITNA</t>
        </is>
      </c>
      <c r="G17" s="59" t="n"/>
      <c r="O17" s="59" t="n"/>
      <c r="X17" s="61" t="n"/>
      <c r="Y17" s="61" t="n"/>
      <c r="AT17" s="53" t="inlineStr">
        <is>
          <t>Pay Frequency* Column Number</t>
        </is>
      </c>
      <c r="AU17" s="53">
        <f>MATCH("Pay Frequency*",'Employee Details'!$A$4:$AQ$4,0)</f>
        <v/>
      </c>
      <c r="AV17" s="46" t="inlineStr">
        <is>
          <t>Pay_Frequency_ColNo</t>
        </is>
      </c>
    </row>
    <row r="18" ht="14.25" customHeight="1" s="86">
      <c r="A18" s="45" t="inlineStr">
        <is>
          <t>IL</t>
        </is>
      </c>
      <c r="E18" s="53" t="inlineStr">
        <is>
          <t>AK</t>
        </is>
      </c>
      <c r="F18" s="53" t="inlineStr">
        <is>
          <t>NOME</t>
        </is>
      </c>
      <c r="G18" s="59" t="n"/>
      <c r="O18" s="59" t="n"/>
      <c r="X18" s="61" t="n"/>
      <c r="Y18" s="61" t="n"/>
      <c r="AT18" s="53" t="inlineStr">
        <is>
          <t>Search Column</t>
        </is>
      </c>
      <c r="AU18" s="53" t="inlineStr">
        <is>
          <t>Dependent*Prefix</t>
        </is>
      </c>
      <c r="AV18" s="46" t="inlineStr">
        <is>
          <t>Dep_FirstCol_Search</t>
        </is>
      </c>
    </row>
    <row r="19" ht="14.25" customHeight="1" s="86">
      <c r="A19" s="45" t="inlineStr">
        <is>
          <t>IN</t>
        </is>
      </c>
      <c r="E19" s="53" t="inlineStr">
        <is>
          <t>AK</t>
        </is>
      </c>
      <c r="F19" s="53" t="inlineStr">
        <is>
          <t>NORTH SLOPE</t>
        </is>
      </c>
      <c r="G19" s="59" t="n"/>
      <c r="O19" s="59" t="n"/>
      <c r="X19" s="61" t="n"/>
      <c r="Y19" s="61" t="n"/>
      <c r="AT19" s="53" t="inlineStr">
        <is>
          <t>Employee SSN (Col No)</t>
        </is>
      </c>
      <c r="AU19" s="53">
        <f>MATCH("Employee SSN",'Employee Details'!$A$4:$AQ$4,0)</f>
        <v/>
      </c>
      <c r="AV19" s="46" t="inlineStr">
        <is>
          <t>Employee_SSN</t>
        </is>
      </c>
    </row>
    <row r="20" ht="14.25" customHeight="1" s="86">
      <c r="A20" s="45" t="inlineStr">
        <is>
          <t>KS</t>
        </is>
      </c>
      <c r="E20" s="53" t="inlineStr">
        <is>
          <t>AK</t>
        </is>
      </c>
      <c r="F20" s="53" t="inlineStr">
        <is>
          <t>NORTHWEST ARCTIC</t>
        </is>
      </c>
      <c r="G20" s="59" t="n"/>
      <c r="O20" s="59" t="n"/>
      <c r="X20" s="61" t="n"/>
      <c r="Y20" s="61" t="n"/>
      <c r="AT20" s="53" t="inlineStr">
        <is>
          <t>Working Hours per Week(Digits)**</t>
        </is>
      </c>
      <c r="AU20" s="53">
        <f>MATCH("Hourly Pay Rate**",'Employee Details'!$A$4:$AQ$4,0)</f>
        <v/>
      </c>
      <c r="AV20" s="46" t="inlineStr">
        <is>
          <t>HourlyPayRate</t>
        </is>
      </c>
    </row>
    <row r="21" ht="14.25" customHeight="1" s="86">
      <c r="A21" s="45" t="inlineStr">
        <is>
          <t>KY</t>
        </is>
      </c>
      <c r="E21" s="53" t="inlineStr">
        <is>
          <t>AK</t>
        </is>
      </c>
      <c r="F21" s="53" t="inlineStr">
        <is>
          <t>PETERSBURG</t>
        </is>
      </c>
      <c r="G21" s="59" t="n"/>
      <c r="O21" s="59" t="n"/>
      <c r="X21" s="61" t="n"/>
      <c r="Y21" s="61" t="n"/>
      <c r="AT21" s="53" t="inlineStr">
        <is>
          <t>System Defined Custom Fields</t>
        </is>
      </c>
      <c r="AU21" s="53" t="inlineStr">
        <is>
          <t>Protected Veteran Status,Race/Ethnicity,EEO Job Category,Disability Status</t>
        </is>
      </c>
      <c r="AV21" s="53" t="inlineStr">
        <is>
          <t>SystemCustomFields</t>
        </is>
      </c>
    </row>
    <row r="22" ht="14.25" customHeight="1" s="86">
      <c r="A22" s="45" t="inlineStr">
        <is>
          <t>LA</t>
        </is>
      </c>
      <c r="E22" s="53" t="inlineStr">
        <is>
          <t>AK</t>
        </is>
      </c>
      <c r="F22" s="53" t="inlineStr">
        <is>
          <t>PRINCE OF WALES HYDER</t>
        </is>
      </c>
      <c r="G22" s="59" t="n"/>
      <c r="O22" s="59" t="n"/>
      <c r="X22" s="61" t="n"/>
      <c r="Y22" s="61" t="n"/>
    </row>
    <row r="23" ht="14.25" customHeight="1" s="86">
      <c r="A23" s="45" t="inlineStr">
        <is>
          <t>MA</t>
        </is>
      </c>
      <c r="E23" s="53" t="inlineStr">
        <is>
          <t>AK</t>
        </is>
      </c>
      <c r="F23" s="53" t="inlineStr">
        <is>
          <t>SITKA</t>
        </is>
      </c>
      <c r="G23" s="59" t="n"/>
      <c r="O23" s="59" t="n"/>
      <c r="X23" s="61" t="n"/>
      <c r="Y23" s="61" t="n"/>
    </row>
    <row r="24" ht="14.25" customHeight="1" s="86">
      <c r="A24" s="45" t="inlineStr">
        <is>
          <t>MD</t>
        </is>
      </c>
      <c r="E24" s="53" t="inlineStr">
        <is>
          <t>AK</t>
        </is>
      </c>
      <c r="F24" s="53" t="inlineStr">
        <is>
          <t>SKAGWAY</t>
        </is>
      </c>
      <c r="G24" s="59" t="n"/>
      <c r="O24" s="59" t="n"/>
      <c r="X24" s="61" t="n"/>
      <c r="Y24" s="61" t="n"/>
    </row>
    <row r="25" ht="14.25" customHeight="1" s="86">
      <c r="A25" s="45" t="inlineStr">
        <is>
          <t>ME</t>
        </is>
      </c>
      <c r="E25" s="53" t="inlineStr">
        <is>
          <t>AK</t>
        </is>
      </c>
      <c r="F25" s="53" t="inlineStr">
        <is>
          <t>SOUTHEAST FAIRBANKS</t>
        </is>
      </c>
      <c r="G25" s="59" t="n"/>
      <c r="O25" s="59" t="n"/>
      <c r="X25" s="61" t="n"/>
      <c r="Y25" s="61" t="n"/>
    </row>
    <row r="26" ht="14.25" customHeight="1" s="86">
      <c r="A26" s="45" t="inlineStr">
        <is>
          <t>MH</t>
        </is>
      </c>
      <c r="E26" s="53" t="inlineStr">
        <is>
          <t>AK</t>
        </is>
      </c>
      <c r="F26" s="53" t="inlineStr">
        <is>
          <t>VALDEZ CORDOVA</t>
        </is>
      </c>
      <c r="G26" s="59" t="n"/>
      <c r="O26" s="59" t="n"/>
      <c r="X26" s="61" t="n"/>
      <c r="Y26" s="61" t="n"/>
    </row>
    <row r="27" ht="14.25" customHeight="1" s="86">
      <c r="A27" s="45" t="inlineStr">
        <is>
          <t>MI</t>
        </is>
      </c>
      <c r="E27" s="53" t="inlineStr">
        <is>
          <t>AK</t>
        </is>
      </c>
      <c r="F27" s="53" t="inlineStr">
        <is>
          <t>WADE HAMPTON</t>
        </is>
      </c>
      <c r="G27" s="59" t="n"/>
      <c r="O27" s="59" t="n"/>
      <c r="X27" s="61" t="n"/>
      <c r="Y27" s="61" t="n"/>
    </row>
    <row r="28" ht="14.25" customHeight="1" s="86">
      <c r="A28" s="45" t="inlineStr">
        <is>
          <t>MN</t>
        </is>
      </c>
      <c r="E28" s="53" t="inlineStr">
        <is>
          <t>AK</t>
        </is>
      </c>
      <c r="F28" s="53" t="inlineStr">
        <is>
          <t>WRANGELL</t>
        </is>
      </c>
      <c r="G28" s="59" t="n"/>
      <c r="O28" s="59" t="n"/>
      <c r="X28" s="61" t="n"/>
      <c r="Y28" s="61" t="n"/>
    </row>
    <row r="29" ht="14.25" customHeight="1" s="86">
      <c r="A29" s="45" t="inlineStr">
        <is>
          <t>MO</t>
        </is>
      </c>
      <c r="E29" s="53" t="inlineStr">
        <is>
          <t>AK</t>
        </is>
      </c>
      <c r="F29" s="53" t="inlineStr">
        <is>
          <t>YAKUTAT</t>
        </is>
      </c>
      <c r="G29" s="59" t="n"/>
      <c r="O29" s="59" t="n"/>
      <c r="X29" s="61" t="n"/>
      <c r="Y29" s="61" t="n"/>
    </row>
    <row r="30" ht="14.25" customHeight="1" s="86">
      <c r="A30" s="45" t="inlineStr">
        <is>
          <t>MP</t>
        </is>
      </c>
      <c r="E30" s="53" t="inlineStr">
        <is>
          <t>AK</t>
        </is>
      </c>
      <c r="F30" s="53" t="inlineStr">
        <is>
          <t>YUKON KOYUKUK</t>
        </is>
      </c>
      <c r="G30" s="59" t="n"/>
      <c r="O30" s="59" t="n"/>
      <c r="X30" s="61" t="n"/>
      <c r="Y30" s="61" t="n"/>
    </row>
    <row r="31" ht="14.25" customHeight="1" s="86">
      <c r="A31" s="45" t="inlineStr">
        <is>
          <t>MS</t>
        </is>
      </c>
      <c r="E31" s="53" t="inlineStr">
        <is>
          <t>AL</t>
        </is>
      </c>
      <c r="F31" s="53" t="inlineStr">
        <is>
          <t>AUTAUGA</t>
        </is>
      </c>
      <c r="G31" s="59" t="n"/>
      <c r="O31" s="59" t="n"/>
      <c r="X31" s="61" t="n"/>
      <c r="Y31" s="61" t="n"/>
    </row>
    <row r="32" ht="14.25" customHeight="1" s="86">
      <c r="A32" s="45" t="inlineStr">
        <is>
          <t>MT</t>
        </is>
      </c>
      <c r="E32" s="53" t="inlineStr">
        <is>
          <t>AL</t>
        </is>
      </c>
      <c r="F32" s="53" t="inlineStr">
        <is>
          <t>BALDWIN</t>
        </is>
      </c>
      <c r="G32" s="59" t="n"/>
      <c r="O32" s="59" t="n"/>
      <c r="X32" s="61" t="n"/>
      <c r="Y32" s="61" t="n"/>
    </row>
    <row r="33" ht="14.25" customHeight="1" s="86">
      <c r="A33" s="45" t="inlineStr">
        <is>
          <t>NC</t>
        </is>
      </c>
      <c r="E33" s="53" t="inlineStr">
        <is>
          <t>AL</t>
        </is>
      </c>
      <c r="F33" s="53" t="inlineStr">
        <is>
          <t>BARBOUR</t>
        </is>
      </c>
      <c r="G33" s="59" t="n"/>
      <c r="O33" s="59" t="n"/>
      <c r="X33" s="61" t="n"/>
      <c r="Y33" s="61" t="n"/>
    </row>
    <row r="34" ht="14.25" customHeight="1" s="86">
      <c r="A34" s="45" t="inlineStr">
        <is>
          <t>ND</t>
        </is>
      </c>
      <c r="E34" s="53" t="inlineStr">
        <is>
          <t>AL</t>
        </is>
      </c>
      <c r="F34" s="53" t="inlineStr">
        <is>
          <t>BIBB</t>
        </is>
      </c>
      <c r="G34" s="59" t="n"/>
      <c r="O34" s="59" t="n"/>
      <c r="X34" s="61" t="n"/>
      <c r="Y34" s="61" t="n"/>
    </row>
    <row r="35" ht="14.25" customHeight="1" s="86">
      <c r="A35" s="45" t="inlineStr">
        <is>
          <t>NE</t>
        </is>
      </c>
      <c r="E35" s="53" t="inlineStr">
        <is>
          <t>AL</t>
        </is>
      </c>
      <c r="F35" s="53" t="inlineStr">
        <is>
          <t>BLOUNT</t>
        </is>
      </c>
      <c r="G35" s="59" t="n"/>
      <c r="O35" s="59" t="n"/>
      <c r="X35" s="61" t="n"/>
      <c r="Y35" s="61" t="n"/>
    </row>
    <row r="36" ht="14.25" customHeight="1" s="86">
      <c r="A36" s="45" t="inlineStr">
        <is>
          <t>NH</t>
        </is>
      </c>
      <c r="E36" s="53" t="inlineStr">
        <is>
          <t>AL</t>
        </is>
      </c>
      <c r="F36" s="53" t="inlineStr">
        <is>
          <t>BULLOCK</t>
        </is>
      </c>
      <c r="G36" s="59" t="n"/>
      <c r="O36" s="59" t="n"/>
      <c r="X36" s="61" t="n"/>
      <c r="Y36" s="61" t="n"/>
    </row>
    <row r="37" ht="14.25" customHeight="1" s="86">
      <c r="A37" s="45" t="inlineStr">
        <is>
          <t>NJ</t>
        </is>
      </c>
      <c r="E37" s="53" t="inlineStr">
        <is>
          <t>AL</t>
        </is>
      </c>
      <c r="F37" s="53" t="inlineStr">
        <is>
          <t>BUTLER</t>
        </is>
      </c>
      <c r="G37" s="59" t="n"/>
      <c r="O37" s="59" t="n"/>
      <c r="X37" s="61" t="n"/>
      <c r="Y37" s="61" t="n"/>
    </row>
    <row r="38" ht="14.25" customHeight="1" s="86">
      <c r="A38" s="45" t="inlineStr">
        <is>
          <t>NM</t>
        </is>
      </c>
      <c r="E38" s="53" t="inlineStr">
        <is>
          <t>AL</t>
        </is>
      </c>
      <c r="F38" s="53" t="inlineStr">
        <is>
          <t>CALHOUN</t>
        </is>
      </c>
      <c r="G38" s="59" t="n"/>
      <c r="O38" s="59" t="n"/>
      <c r="X38" s="61" t="n"/>
      <c r="Y38" s="61" t="n"/>
    </row>
    <row r="39" ht="14.25" customHeight="1" s="86">
      <c r="A39" s="45" t="inlineStr">
        <is>
          <t>NV</t>
        </is>
      </c>
      <c r="E39" s="53" t="inlineStr">
        <is>
          <t>AL</t>
        </is>
      </c>
      <c r="F39" s="53" t="inlineStr">
        <is>
          <t>CHAMBERS</t>
        </is>
      </c>
      <c r="G39" s="59" t="n"/>
      <c r="O39" s="59" t="n"/>
      <c r="X39" s="61" t="n"/>
      <c r="Y39" s="61" t="n"/>
    </row>
    <row r="40" ht="14.25" customHeight="1" s="86">
      <c r="A40" s="45" t="inlineStr">
        <is>
          <t>NY</t>
        </is>
      </c>
      <c r="E40" s="53" t="inlineStr">
        <is>
          <t>AL</t>
        </is>
      </c>
      <c r="F40" s="53" t="inlineStr">
        <is>
          <t>CHEROKEE</t>
        </is>
      </c>
      <c r="G40" s="59" t="n"/>
      <c r="O40" s="59" t="n"/>
      <c r="X40" s="61" t="n"/>
      <c r="Y40" s="61" t="n"/>
    </row>
    <row r="41" ht="14.25" customHeight="1" s="86">
      <c r="A41" s="45" t="inlineStr">
        <is>
          <t>OH</t>
        </is>
      </c>
      <c r="E41" s="53" t="inlineStr">
        <is>
          <t>AL</t>
        </is>
      </c>
      <c r="F41" s="53" t="inlineStr">
        <is>
          <t>CHILTON</t>
        </is>
      </c>
      <c r="G41" s="59" t="n"/>
      <c r="O41" s="59" t="n"/>
      <c r="X41" s="61" t="n"/>
      <c r="Y41" s="61" t="n"/>
    </row>
    <row r="42" ht="14.25" customHeight="1" s="86">
      <c r="A42" s="45" t="inlineStr">
        <is>
          <t>OK</t>
        </is>
      </c>
      <c r="E42" s="53" t="inlineStr">
        <is>
          <t>AL</t>
        </is>
      </c>
      <c r="F42" s="53" t="inlineStr">
        <is>
          <t>CHOCTAW</t>
        </is>
      </c>
      <c r="G42" s="59" t="n"/>
      <c r="O42" s="59" t="n"/>
      <c r="X42" s="61" t="n"/>
      <c r="Y42" s="61" t="n"/>
    </row>
    <row r="43" ht="14.25" customHeight="1" s="86">
      <c r="A43" s="45" t="inlineStr">
        <is>
          <t>OR</t>
        </is>
      </c>
      <c r="E43" s="53" t="inlineStr">
        <is>
          <t>AL</t>
        </is>
      </c>
      <c r="F43" s="53" t="inlineStr">
        <is>
          <t>CLARKE</t>
        </is>
      </c>
      <c r="G43" s="59" t="n"/>
      <c r="O43" s="59" t="n"/>
      <c r="X43" s="61" t="n"/>
      <c r="Y43" s="61" t="n"/>
    </row>
    <row r="44" ht="14.25" customHeight="1" s="86">
      <c r="A44" s="45" t="inlineStr">
        <is>
          <t>PA</t>
        </is>
      </c>
      <c r="E44" s="53" t="inlineStr">
        <is>
          <t>AL</t>
        </is>
      </c>
      <c r="F44" s="53" t="inlineStr">
        <is>
          <t>CLAY</t>
        </is>
      </c>
      <c r="G44" s="59" t="n"/>
      <c r="O44" s="59" t="n"/>
      <c r="X44" s="61" t="n"/>
      <c r="Y44" s="61" t="n"/>
    </row>
    <row r="45" ht="14.25" customHeight="1" s="86">
      <c r="A45" s="45" t="inlineStr">
        <is>
          <t>PR</t>
        </is>
      </c>
      <c r="E45" s="53" t="inlineStr">
        <is>
          <t>AL</t>
        </is>
      </c>
      <c r="F45" s="53" t="inlineStr">
        <is>
          <t>CLEBURNE</t>
        </is>
      </c>
      <c r="G45" s="59" t="n"/>
      <c r="O45" s="59" t="n"/>
      <c r="X45" s="61" t="n"/>
      <c r="Y45" s="61" t="n"/>
    </row>
    <row r="46" ht="14.25" customHeight="1" s="86">
      <c r="A46" s="45" t="inlineStr">
        <is>
          <t>PW</t>
        </is>
      </c>
      <c r="E46" s="53" t="inlineStr">
        <is>
          <t>AL</t>
        </is>
      </c>
      <c r="F46" s="53" t="inlineStr">
        <is>
          <t>COFFEE</t>
        </is>
      </c>
      <c r="G46" s="59" t="n"/>
      <c r="O46" s="59" t="n"/>
      <c r="X46" s="61" t="n"/>
      <c r="Y46" s="61" t="n"/>
    </row>
    <row r="47" ht="14.25" customHeight="1" s="86">
      <c r="A47" s="45" t="inlineStr">
        <is>
          <t>RI</t>
        </is>
      </c>
      <c r="E47" s="53" t="inlineStr">
        <is>
          <t>AL</t>
        </is>
      </c>
      <c r="F47" s="53" t="inlineStr">
        <is>
          <t>COLBERT</t>
        </is>
      </c>
      <c r="G47" s="59" t="n"/>
      <c r="O47" s="59" t="n"/>
      <c r="X47" s="61" t="n"/>
      <c r="Y47" s="61" t="n"/>
    </row>
    <row r="48" ht="14.25" customHeight="1" s="86">
      <c r="A48" s="45" t="inlineStr">
        <is>
          <t>SC</t>
        </is>
      </c>
      <c r="E48" s="53" t="inlineStr">
        <is>
          <t>AL</t>
        </is>
      </c>
      <c r="F48" s="53" t="inlineStr">
        <is>
          <t>CONECUH</t>
        </is>
      </c>
      <c r="G48" s="59" t="n"/>
      <c r="O48" s="59" t="n"/>
      <c r="X48" s="61" t="n"/>
      <c r="Y48" s="61" t="n"/>
    </row>
    <row r="49" ht="14.25" customHeight="1" s="86">
      <c r="A49" s="45" t="inlineStr">
        <is>
          <t>SD</t>
        </is>
      </c>
      <c r="E49" s="53" t="inlineStr">
        <is>
          <t>AL</t>
        </is>
      </c>
      <c r="F49" s="53" t="inlineStr">
        <is>
          <t>COOSA</t>
        </is>
      </c>
      <c r="G49" s="59" t="n"/>
      <c r="O49" s="59" t="n"/>
      <c r="X49" s="61" t="n"/>
      <c r="Y49" s="61" t="n"/>
    </row>
    <row r="50" ht="14.25" customHeight="1" s="86">
      <c r="A50" s="45" t="inlineStr">
        <is>
          <t>TN</t>
        </is>
      </c>
      <c r="E50" s="53" t="inlineStr">
        <is>
          <t>AL</t>
        </is>
      </c>
      <c r="F50" s="53" t="inlineStr">
        <is>
          <t>COVINGTON</t>
        </is>
      </c>
      <c r="G50" s="59" t="n"/>
      <c r="O50" s="59" t="n"/>
      <c r="X50" s="61" t="n"/>
      <c r="Y50" s="61" t="n"/>
    </row>
    <row r="51" ht="14.25" customHeight="1" s="86">
      <c r="A51" s="45" t="inlineStr">
        <is>
          <t>TX</t>
        </is>
      </c>
      <c r="E51" s="53" t="inlineStr">
        <is>
          <t>AL</t>
        </is>
      </c>
      <c r="F51" s="53" t="inlineStr">
        <is>
          <t>CRENSHAW</t>
        </is>
      </c>
      <c r="G51" s="59" t="n"/>
      <c r="O51" s="59" t="n"/>
      <c r="X51" s="61" t="n"/>
      <c r="Y51" s="61" t="n"/>
    </row>
    <row r="52" ht="14.25" customHeight="1" s="86">
      <c r="A52" s="45" t="inlineStr">
        <is>
          <t>UT</t>
        </is>
      </c>
      <c r="E52" s="53" t="inlineStr">
        <is>
          <t>AL</t>
        </is>
      </c>
      <c r="F52" s="53" t="inlineStr">
        <is>
          <t>CULLMAN</t>
        </is>
      </c>
      <c r="G52" s="59" t="n"/>
      <c r="O52" s="59" t="n"/>
      <c r="X52" s="61" t="n"/>
      <c r="Y52" s="61" t="n"/>
    </row>
    <row r="53" ht="14.25" customHeight="1" s="86">
      <c r="A53" s="45" t="inlineStr">
        <is>
          <t>VA</t>
        </is>
      </c>
      <c r="E53" s="53" t="inlineStr">
        <is>
          <t>AL</t>
        </is>
      </c>
      <c r="F53" s="53" t="inlineStr">
        <is>
          <t>DALE</t>
        </is>
      </c>
      <c r="G53" s="59" t="n"/>
      <c r="O53" s="59" t="n"/>
      <c r="X53" s="61" t="n"/>
      <c r="Y53" s="61" t="n"/>
    </row>
    <row r="54" ht="14.25" customHeight="1" s="86">
      <c r="A54" s="45" t="inlineStr">
        <is>
          <t>VI</t>
        </is>
      </c>
      <c r="E54" s="53" t="inlineStr">
        <is>
          <t>AL</t>
        </is>
      </c>
      <c r="F54" s="53" t="inlineStr">
        <is>
          <t>DALLAS</t>
        </is>
      </c>
      <c r="G54" s="59" t="n"/>
      <c r="O54" s="59" t="n"/>
      <c r="X54" s="61" t="n"/>
      <c r="Y54" s="61" t="n"/>
    </row>
    <row r="55" ht="14.25" customHeight="1" s="86">
      <c r="A55" s="45" t="inlineStr">
        <is>
          <t>VT</t>
        </is>
      </c>
      <c r="E55" s="53" t="inlineStr">
        <is>
          <t>AL</t>
        </is>
      </c>
      <c r="F55" s="53" t="inlineStr">
        <is>
          <t>DE KALB</t>
        </is>
      </c>
      <c r="G55" s="59" t="n"/>
      <c r="O55" s="59" t="n"/>
      <c r="X55" s="61" t="n"/>
      <c r="Y55" s="61" t="n"/>
    </row>
    <row r="56" ht="14.25" customHeight="1" s="86">
      <c r="A56" s="45" t="inlineStr">
        <is>
          <t>WA</t>
        </is>
      </c>
      <c r="E56" s="53" t="inlineStr">
        <is>
          <t>AL</t>
        </is>
      </c>
      <c r="F56" s="53" t="inlineStr">
        <is>
          <t>ELMORE</t>
        </is>
      </c>
      <c r="G56" s="59" t="n"/>
      <c r="O56" s="59" t="n"/>
      <c r="X56" s="61" t="n"/>
      <c r="Y56" s="61" t="n"/>
    </row>
    <row r="57" ht="14.25" customHeight="1" s="86">
      <c r="A57" s="45" t="inlineStr">
        <is>
          <t>WI</t>
        </is>
      </c>
      <c r="E57" s="53" t="inlineStr">
        <is>
          <t>AL</t>
        </is>
      </c>
      <c r="F57" s="53" t="inlineStr">
        <is>
          <t>ESCAMBIA</t>
        </is>
      </c>
      <c r="G57" s="59" t="n"/>
      <c r="O57" s="59" t="n"/>
      <c r="X57" s="61" t="n"/>
      <c r="Y57" s="61" t="n"/>
    </row>
    <row r="58" ht="14.25" customHeight="1" s="86">
      <c r="A58" s="45" t="inlineStr">
        <is>
          <t>WV</t>
        </is>
      </c>
      <c r="E58" s="53" t="inlineStr">
        <is>
          <t>AL</t>
        </is>
      </c>
      <c r="F58" s="53" t="inlineStr">
        <is>
          <t>ETOWAH</t>
        </is>
      </c>
      <c r="G58" s="59" t="n"/>
      <c r="O58" s="59" t="n"/>
      <c r="X58" s="61" t="n"/>
      <c r="Y58" s="61" t="n"/>
    </row>
    <row r="59" ht="14.25" customHeight="1" s="86">
      <c r="A59" s="45" t="inlineStr">
        <is>
          <t>WY</t>
        </is>
      </c>
      <c r="E59" s="53" t="inlineStr">
        <is>
          <t>AL</t>
        </is>
      </c>
      <c r="F59" s="53" t="inlineStr">
        <is>
          <t>FAYETTE</t>
        </is>
      </c>
      <c r="G59" s="59" t="n"/>
      <c r="O59" s="59" t="n"/>
      <c r="X59" s="61" t="n"/>
      <c r="Y59" s="61" t="n"/>
    </row>
    <row r="60" ht="14.25" customHeight="1" s="86">
      <c r="E60" s="53" t="inlineStr">
        <is>
          <t>AL</t>
        </is>
      </c>
      <c r="F60" s="53" t="inlineStr">
        <is>
          <t>FRANKLIN</t>
        </is>
      </c>
      <c r="G60" s="59" t="n"/>
      <c r="O60" s="59" t="n"/>
      <c r="X60" s="61" t="n"/>
      <c r="Y60" s="61" t="n"/>
    </row>
    <row r="61" ht="14.25" customHeight="1" s="86">
      <c r="E61" s="53" t="inlineStr">
        <is>
          <t>AL</t>
        </is>
      </c>
      <c r="F61" s="53" t="inlineStr">
        <is>
          <t>GENEVA</t>
        </is>
      </c>
      <c r="G61" s="59" t="n"/>
      <c r="O61" s="59" t="n"/>
      <c r="X61" s="61" t="n"/>
      <c r="Y61" s="61" t="n"/>
    </row>
    <row r="62" ht="14.25" customHeight="1" s="86">
      <c r="E62" s="53" t="inlineStr">
        <is>
          <t>AL</t>
        </is>
      </c>
      <c r="F62" s="53" t="inlineStr">
        <is>
          <t>GREENE</t>
        </is>
      </c>
      <c r="G62" s="59" t="n"/>
      <c r="O62" s="59" t="n"/>
      <c r="X62" s="61" t="n"/>
      <c r="Y62" s="61" t="n"/>
    </row>
    <row r="63" ht="14.25" customHeight="1" s="86">
      <c r="E63" s="53" t="inlineStr">
        <is>
          <t>AL</t>
        </is>
      </c>
      <c r="F63" s="53" t="inlineStr">
        <is>
          <t>HALE</t>
        </is>
      </c>
      <c r="G63" s="59" t="n"/>
      <c r="O63" s="59" t="n"/>
      <c r="X63" s="61" t="n"/>
      <c r="Y63" s="61" t="n"/>
    </row>
    <row r="64" ht="14.25" customHeight="1" s="86">
      <c r="E64" s="53" t="inlineStr">
        <is>
          <t>AL</t>
        </is>
      </c>
      <c r="F64" s="53" t="inlineStr">
        <is>
          <t>HENRY</t>
        </is>
      </c>
      <c r="G64" s="59" t="n"/>
      <c r="O64" s="59" t="n"/>
      <c r="X64" s="61" t="n"/>
      <c r="Y64" s="61" t="n"/>
    </row>
    <row r="65" ht="14.25" customHeight="1" s="86">
      <c r="E65" s="53" t="inlineStr">
        <is>
          <t>AL</t>
        </is>
      </c>
      <c r="F65" s="53" t="inlineStr">
        <is>
          <t>HOUSTON</t>
        </is>
      </c>
      <c r="G65" s="59" t="n"/>
      <c r="O65" s="59" t="n"/>
      <c r="X65" s="61" t="n"/>
      <c r="Y65" s="61" t="n"/>
    </row>
    <row r="66" ht="14.25" customHeight="1" s="86">
      <c r="E66" s="53" t="inlineStr">
        <is>
          <t>AL</t>
        </is>
      </c>
      <c r="F66" s="53" t="inlineStr">
        <is>
          <t>JACKSON</t>
        </is>
      </c>
      <c r="G66" s="59" t="n"/>
      <c r="O66" s="59" t="n"/>
      <c r="X66" s="61" t="n"/>
      <c r="Y66" s="61" t="n"/>
    </row>
    <row r="67" ht="14.25" customHeight="1" s="86">
      <c r="E67" s="53" t="inlineStr">
        <is>
          <t>AL</t>
        </is>
      </c>
      <c r="F67" s="53" t="inlineStr">
        <is>
          <t>JEFFERSON</t>
        </is>
      </c>
      <c r="G67" s="59" t="n"/>
      <c r="O67" s="59" t="n"/>
      <c r="X67" s="61" t="n"/>
      <c r="Y67" s="61" t="n"/>
    </row>
    <row r="68" ht="14.25" customHeight="1" s="86">
      <c r="E68" s="53" t="inlineStr">
        <is>
          <t>AL</t>
        </is>
      </c>
      <c r="F68" s="53" t="inlineStr">
        <is>
          <t>LAMAR</t>
        </is>
      </c>
      <c r="G68" s="59" t="n"/>
      <c r="O68" s="59" t="n"/>
      <c r="X68" s="61" t="n"/>
      <c r="Y68" s="61" t="n"/>
    </row>
    <row r="69" ht="14.25" customHeight="1" s="86">
      <c r="E69" s="53" t="inlineStr">
        <is>
          <t>AL</t>
        </is>
      </c>
      <c r="F69" s="53" t="inlineStr">
        <is>
          <t>LAUDERDALE</t>
        </is>
      </c>
      <c r="G69" s="59" t="n"/>
      <c r="O69" s="59" t="n"/>
      <c r="X69" s="61" t="n"/>
      <c r="Y69" s="61" t="n"/>
    </row>
    <row r="70" ht="14.25" customHeight="1" s="86">
      <c r="E70" s="53" t="inlineStr">
        <is>
          <t>AL</t>
        </is>
      </c>
      <c r="F70" s="53" t="inlineStr">
        <is>
          <t>LAWRENCE</t>
        </is>
      </c>
      <c r="G70" s="59" t="n"/>
      <c r="O70" s="59" t="n"/>
      <c r="X70" s="61" t="n"/>
      <c r="Y70" s="61" t="n"/>
    </row>
    <row r="71" ht="14.25" customHeight="1" s="86">
      <c r="E71" s="53" t="inlineStr">
        <is>
          <t>AL</t>
        </is>
      </c>
      <c r="F71" s="53" t="inlineStr">
        <is>
          <t>LEE</t>
        </is>
      </c>
      <c r="G71" s="59" t="n"/>
      <c r="O71" s="59" t="n"/>
      <c r="X71" s="61" t="n"/>
      <c r="Y71" s="61" t="n"/>
    </row>
    <row r="72" ht="14.25" customHeight="1" s="86">
      <c r="E72" s="53" t="inlineStr">
        <is>
          <t>AL</t>
        </is>
      </c>
      <c r="F72" s="53" t="inlineStr">
        <is>
          <t>LIMESTONE</t>
        </is>
      </c>
      <c r="G72" s="59" t="n"/>
      <c r="O72" s="59" t="n"/>
      <c r="X72" s="61" t="n"/>
      <c r="Y72" s="61" t="n"/>
    </row>
    <row r="73" ht="14.25" customHeight="1" s="86">
      <c r="E73" s="53" t="inlineStr">
        <is>
          <t>AL</t>
        </is>
      </c>
      <c r="F73" s="53" t="inlineStr">
        <is>
          <t>LOWNDES</t>
        </is>
      </c>
      <c r="G73" s="59" t="n"/>
      <c r="O73" s="59" t="n"/>
      <c r="X73" s="61" t="n"/>
      <c r="Y73" s="61" t="n"/>
    </row>
    <row r="74" ht="14.25" customHeight="1" s="86">
      <c r="E74" s="53" t="inlineStr">
        <is>
          <t>AL</t>
        </is>
      </c>
      <c r="F74" s="53" t="inlineStr">
        <is>
          <t>MACON</t>
        </is>
      </c>
      <c r="G74" s="59" t="n"/>
      <c r="O74" s="59" t="n"/>
      <c r="X74" s="61" t="n"/>
      <c r="Y74" s="61" t="n"/>
    </row>
    <row r="75" ht="14.25" customHeight="1" s="86">
      <c r="E75" s="53" t="inlineStr">
        <is>
          <t>AL</t>
        </is>
      </c>
      <c r="F75" s="53" t="inlineStr">
        <is>
          <t>MADISON</t>
        </is>
      </c>
      <c r="G75" s="59" t="n"/>
      <c r="O75" s="59" t="n"/>
      <c r="X75" s="61" t="n"/>
      <c r="Y75" s="61" t="n"/>
    </row>
    <row r="76" ht="14.25" customHeight="1" s="86">
      <c r="E76" s="53" t="inlineStr">
        <is>
          <t>AL</t>
        </is>
      </c>
      <c r="F76" s="53" t="inlineStr">
        <is>
          <t>MARENGO</t>
        </is>
      </c>
      <c r="G76" s="59" t="n"/>
      <c r="O76" s="59" t="n"/>
      <c r="X76" s="61" t="n"/>
      <c r="Y76" s="61" t="n"/>
    </row>
    <row r="77" ht="14.25" customHeight="1" s="86">
      <c r="E77" s="53" t="inlineStr">
        <is>
          <t>AL</t>
        </is>
      </c>
      <c r="F77" s="53" t="inlineStr">
        <is>
          <t>MARION</t>
        </is>
      </c>
      <c r="G77" s="59" t="n"/>
      <c r="O77" s="59" t="n"/>
      <c r="X77" s="61" t="n"/>
      <c r="Y77" s="61" t="n"/>
    </row>
    <row r="78" ht="14.25" customHeight="1" s="86">
      <c r="E78" s="53" t="inlineStr">
        <is>
          <t>AL</t>
        </is>
      </c>
      <c r="F78" s="53" t="inlineStr">
        <is>
          <t>MARSHALL</t>
        </is>
      </c>
      <c r="G78" s="59" t="n"/>
      <c r="O78" s="59" t="n"/>
      <c r="X78" s="61" t="n"/>
      <c r="Y78" s="61" t="n"/>
    </row>
    <row r="79" ht="14.25" customHeight="1" s="86">
      <c r="E79" s="53" t="inlineStr">
        <is>
          <t>AL</t>
        </is>
      </c>
      <c r="F79" s="53" t="inlineStr">
        <is>
          <t>MOBILE</t>
        </is>
      </c>
      <c r="G79" s="59" t="n"/>
      <c r="O79" s="59" t="n"/>
      <c r="X79" s="61" t="n"/>
      <c r="Y79" s="61" t="n"/>
    </row>
    <row r="80" ht="14.25" customHeight="1" s="86">
      <c r="E80" s="53" t="inlineStr">
        <is>
          <t>AL</t>
        </is>
      </c>
      <c r="F80" s="53" t="inlineStr">
        <is>
          <t>MONROE</t>
        </is>
      </c>
      <c r="G80" s="59" t="n"/>
      <c r="O80" s="59" t="n"/>
      <c r="X80" s="61" t="n"/>
      <c r="Y80" s="61" t="n"/>
    </row>
    <row r="81" ht="14.25" customHeight="1" s="86">
      <c r="E81" s="53" t="inlineStr">
        <is>
          <t>AL</t>
        </is>
      </c>
      <c r="F81" s="53" t="inlineStr">
        <is>
          <t>MONTGOMERY</t>
        </is>
      </c>
      <c r="G81" s="59" t="n"/>
      <c r="O81" s="59" t="n"/>
      <c r="X81" s="61" t="n"/>
      <c r="Y81" s="61" t="n"/>
    </row>
    <row r="82" ht="14.25" customHeight="1" s="86">
      <c r="E82" s="53" t="inlineStr">
        <is>
          <t>AL</t>
        </is>
      </c>
      <c r="F82" s="53" t="inlineStr">
        <is>
          <t>MORGAN</t>
        </is>
      </c>
      <c r="G82" s="59" t="n"/>
      <c r="O82" s="59" t="n"/>
      <c r="X82" s="61" t="n"/>
      <c r="Y82" s="61" t="n"/>
    </row>
    <row r="83" ht="14.25" customHeight="1" s="86">
      <c r="E83" s="53" t="inlineStr">
        <is>
          <t>AL</t>
        </is>
      </c>
      <c r="F83" s="53" t="inlineStr">
        <is>
          <t>PERRY</t>
        </is>
      </c>
      <c r="G83" s="59" t="n"/>
      <c r="O83" s="59" t="n"/>
      <c r="X83" s="61" t="n"/>
      <c r="Y83" s="61" t="n"/>
    </row>
    <row r="84" ht="14.25" customHeight="1" s="86">
      <c r="E84" s="53" t="inlineStr">
        <is>
          <t>AL</t>
        </is>
      </c>
      <c r="F84" s="53" t="inlineStr">
        <is>
          <t>PICKENS</t>
        </is>
      </c>
      <c r="G84" s="59" t="n"/>
      <c r="O84" s="59" t="n"/>
      <c r="X84" s="61" t="n"/>
      <c r="Y84" s="61" t="n"/>
    </row>
    <row r="85" ht="14.25" customHeight="1" s="86">
      <c r="E85" s="53" t="inlineStr">
        <is>
          <t>AL</t>
        </is>
      </c>
      <c r="F85" s="53" t="inlineStr">
        <is>
          <t>PIKE</t>
        </is>
      </c>
      <c r="G85" s="59" t="n"/>
      <c r="O85" s="59" t="n"/>
      <c r="X85" s="61" t="n"/>
      <c r="Y85" s="61" t="n"/>
    </row>
    <row r="86" ht="14.25" customHeight="1" s="86">
      <c r="E86" s="53" t="inlineStr">
        <is>
          <t>AL</t>
        </is>
      </c>
      <c r="F86" s="53" t="inlineStr">
        <is>
          <t>RANDOLPH</t>
        </is>
      </c>
      <c r="G86" s="59" t="n"/>
      <c r="O86" s="59" t="n"/>
      <c r="X86" s="61" t="n"/>
      <c r="Y86" s="61" t="n"/>
    </row>
    <row r="87" ht="14.25" customHeight="1" s="86">
      <c r="E87" s="53" t="inlineStr">
        <is>
          <t>AL</t>
        </is>
      </c>
      <c r="F87" s="53" t="inlineStr">
        <is>
          <t>RUSSELL</t>
        </is>
      </c>
      <c r="G87" s="59" t="n"/>
      <c r="O87" s="59" t="n"/>
      <c r="X87" s="61" t="n"/>
      <c r="Y87" s="61" t="n"/>
    </row>
    <row r="88" ht="14.25" customHeight="1" s="86">
      <c r="E88" s="53" t="inlineStr">
        <is>
          <t>AL</t>
        </is>
      </c>
      <c r="F88" s="53" t="inlineStr">
        <is>
          <t>SAINT CLAIR</t>
        </is>
      </c>
      <c r="G88" s="59" t="n"/>
      <c r="O88" s="59" t="n"/>
      <c r="X88" s="61" t="n"/>
      <c r="Y88" s="61" t="n"/>
    </row>
    <row r="89" ht="14.25" customHeight="1" s="86">
      <c r="E89" s="53" t="inlineStr">
        <is>
          <t>AL</t>
        </is>
      </c>
      <c r="F89" s="53" t="inlineStr">
        <is>
          <t>SHELBY</t>
        </is>
      </c>
      <c r="G89" s="59" t="n"/>
      <c r="O89" s="59" t="n"/>
      <c r="X89" s="61" t="n"/>
      <c r="Y89" s="61" t="n"/>
    </row>
    <row r="90" ht="14.25" customHeight="1" s="86">
      <c r="E90" s="53" t="inlineStr">
        <is>
          <t>AL</t>
        </is>
      </c>
      <c r="F90" s="53" t="inlineStr">
        <is>
          <t>SUMTER</t>
        </is>
      </c>
      <c r="G90" s="59" t="n"/>
      <c r="O90" s="59" t="n"/>
      <c r="X90" s="61" t="n"/>
      <c r="Y90" s="61" t="n"/>
    </row>
    <row r="91" ht="14.25" customHeight="1" s="86">
      <c r="E91" s="53" t="inlineStr">
        <is>
          <t>AL</t>
        </is>
      </c>
      <c r="F91" s="53" t="inlineStr">
        <is>
          <t>TALLADEGA</t>
        </is>
      </c>
      <c r="G91" s="59" t="n"/>
      <c r="O91" s="59" t="n"/>
      <c r="X91" s="61" t="n"/>
      <c r="Y91" s="61" t="n"/>
    </row>
    <row r="92" ht="14.25" customHeight="1" s="86">
      <c r="E92" s="53" t="inlineStr">
        <is>
          <t>AL</t>
        </is>
      </c>
      <c r="F92" s="53" t="inlineStr">
        <is>
          <t>TALLAPOOSA</t>
        </is>
      </c>
      <c r="G92" s="59" t="n"/>
      <c r="O92" s="59" t="n"/>
      <c r="X92" s="61" t="n"/>
      <c r="Y92" s="61" t="n"/>
    </row>
    <row r="93" ht="14.25" customHeight="1" s="86">
      <c r="E93" s="53" t="inlineStr">
        <is>
          <t>AL</t>
        </is>
      </c>
      <c r="F93" s="53" t="inlineStr">
        <is>
          <t>TUSCALOOSA</t>
        </is>
      </c>
      <c r="G93" s="59" t="n"/>
      <c r="O93" s="59" t="n"/>
      <c r="X93" s="61" t="n"/>
      <c r="Y93" s="61" t="n"/>
    </row>
    <row r="94" ht="14.25" customHeight="1" s="86">
      <c r="E94" s="53" t="inlineStr">
        <is>
          <t>AL</t>
        </is>
      </c>
      <c r="F94" s="53" t="inlineStr">
        <is>
          <t>WALKER</t>
        </is>
      </c>
      <c r="G94" s="59" t="n"/>
      <c r="O94" s="59" t="n"/>
      <c r="X94" s="61" t="n"/>
      <c r="Y94" s="61" t="n"/>
    </row>
    <row r="95" ht="14.25" customHeight="1" s="86">
      <c r="E95" s="53" t="inlineStr">
        <is>
          <t>AL</t>
        </is>
      </c>
      <c r="F95" s="53" t="inlineStr">
        <is>
          <t>WASHINGTON</t>
        </is>
      </c>
      <c r="G95" s="59" t="n"/>
      <c r="O95" s="59" t="n"/>
      <c r="X95" s="61" t="n"/>
      <c r="Y95" s="61" t="n"/>
    </row>
    <row r="96" ht="14.25" customHeight="1" s="86">
      <c r="E96" s="53" t="inlineStr">
        <is>
          <t>AL</t>
        </is>
      </c>
      <c r="F96" s="53" t="inlineStr">
        <is>
          <t>WILCOX</t>
        </is>
      </c>
      <c r="G96" s="59" t="n"/>
      <c r="O96" s="59" t="n"/>
      <c r="X96" s="61" t="n"/>
      <c r="Y96" s="61" t="n"/>
    </row>
    <row r="97" ht="14.25" customHeight="1" s="86">
      <c r="E97" s="53" t="inlineStr">
        <is>
          <t>AL</t>
        </is>
      </c>
      <c r="F97" s="53" t="inlineStr">
        <is>
          <t>WINSTON</t>
        </is>
      </c>
      <c r="G97" s="59" t="n"/>
      <c r="O97" s="59" t="n"/>
      <c r="X97" s="61" t="n"/>
      <c r="Y97" s="61" t="n"/>
    </row>
    <row r="98" ht="14.25" customHeight="1" s="86">
      <c r="E98" s="53" t="inlineStr">
        <is>
          <t>AR</t>
        </is>
      </c>
      <c r="F98" s="53" t="inlineStr">
        <is>
          <t>ARKANSAS</t>
        </is>
      </c>
      <c r="G98" s="59" t="n"/>
      <c r="O98" s="59" t="n"/>
      <c r="X98" s="61" t="n"/>
      <c r="Y98" s="61" t="n"/>
    </row>
    <row r="99" ht="14.25" customHeight="1" s="86">
      <c r="E99" s="53" t="inlineStr">
        <is>
          <t>AR</t>
        </is>
      </c>
      <c r="F99" s="53" t="inlineStr">
        <is>
          <t>ASHLEY</t>
        </is>
      </c>
      <c r="G99" s="59" t="n"/>
      <c r="O99" s="59" t="n"/>
      <c r="X99" s="61" t="n"/>
      <c r="Y99" s="61" t="n"/>
    </row>
    <row r="100" ht="14.25" customHeight="1" s="86">
      <c r="E100" s="53" t="inlineStr">
        <is>
          <t>AR</t>
        </is>
      </c>
      <c r="F100" s="53" t="inlineStr">
        <is>
          <t>BAXTER</t>
        </is>
      </c>
      <c r="G100" s="59" t="n"/>
      <c r="O100" s="59" t="n"/>
      <c r="X100" s="61" t="n"/>
      <c r="Y100" s="61" t="n"/>
    </row>
    <row r="101" ht="14.25" customHeight="1" s="86">
      <c r="E101" s="53" t="inlineStr">
        <is>
          <t>AR</t>
        </is>
      </c>
      <c r="F101" s="53" t="inlineStr">
        <is>
          <t>BENTON</t>
        </is>
      </c>
      <c r="G101" s="59" t="n"/>
      <c r="O101" s="59" t="n"/>
      <c r="X101" s="61" t="n"/>
      <c r="Y101" s="61" t="n"/>
    </row>
    <row r="102" ht="14.25" customHeight="1" s="86">
      <c r="E102" s="53" t="inlineStr">
        <is>
          <t>AR</t>
        </is>
      </c>
      <c r="F102" s="53" t="inlineStr">
        <is>
          <t>BOONE</t>
        </is>
      </c>
      <c r="G102" s="59" t="n"/>
      <c r="O102" s="59" t="n"/>
      <c r="X102" s="61" t="n"/>
      <c r="Y102" s="61" t="n"/>
    </row>
    <row r="103" ht="14.25" customHeight="1" s="86">
      <c r="E103" s="53" t="inlineStr">
        <is>
          <t>AR</t>
        </is>
      </c>
      <c r="F103" s="53" t="inlineStr">
        <is>
          <t>BRADLEY</t>
        </is>
      </c>
      <c r="G103" s="59" t="n"/>
      <c r="O103" s="59" t="n"/>
      <c r="X103" s="61" t="n"/>
      <c r="Y103" s="61" t="n"/>
    </row>
    <row r="104" ht="14.25" customHeight="1" s="86">
      <c r="E104" s="53" t="inlineStr">
        <is>
          <t>AR</t>
        </is>
      </c>
      <c r="F104" s="53" t="inlineStr">
        <is>
          <t>CALHOUN</t>
        </is>
      </c>
      <c r="G104" s="59" t="n"/>
      <c r="O104" s="59" t="n"/>
      <c r="X104" s="61" t="n"/>
      <c r="Y104" s="61" t="n"/>
    </row>
    <row r="105" ht="14.25" customHeight="1" s="86">
      <c r="E105" s="53" t="inlineStr">
        <is>
          <t>AR</t>
        </is>
      </c>
      <c r="F105" s="53" t="inlineStr">
        <is>
          <t>CARROLL</t>
        </is>
      </c>
      <c r="G105" s="59" t="n"/>
      <c r="O105" s="59" t="n"/>
      <c r="X105" s="61" t="n"/>
      <c r="Y105" s="61" t="n"/>
    </row>
    <row r="106" ht="14.25" customHeight="1" s="86">
      <c r="E106" s="53" t="inlineStr">
        <is>
          <t>AR</t>
        </is>
      </c>
      <c r="F106" s="53" t="inlineStr">
        <is>
          <t>CHICOT</t>
        </is>
      </c>
      <c r="G106" s="59" t="n"/>
      <c r="O106" s="59" t="n"/>
      <c r="X106" s="61" t="n"/>
      <c r="Y106" s="61" t="n"/>
    </row>
    <row r="107" ht="14.25" customHeight="1" s="86">
      <c r="E107" s="53" t="inlineStr">
        <is>
          <t>AR</t>
        </is>
      </c>
      <c r="F107" s="53" t="inlineStr">
        <is>
          <t>CLARK</t>
        </is>
      </c>
      <c r="G107" s="59" t="n"/>
      <c r="O107" s="59" t="n"/>
      <c r="X107" s="61" t="n"/>
      <c r="Y107" s="61" t="n"/>
    </row>
    <row r="108" ht="14.25" customHeight="1" s="86">
      <c r="E108" s="53" t="inlineStr">
        <is>
          <t>AR</t>
        </is>
      </c>
      <c r="F108" s="53" t="inlineStr">
        <is>
          <t>CLAY</t>
        </is>
      </c>
      <c r="G108" s="59" t="n"/>
      <c r="O108" s="59" t="n"/>
      <c r="X108" s="61" t="n"/>
      <c r="Y108" s="61" t="n"/>
    </row>
    <row r="109" ht="14.25" customHeight="1" s="86">
      <c r="E109" s="53" t="inlineStr">
        <is>
          <t>AR</t>
        </is>
      </c>
      <c r="F109" s="53" t="inlineStr">
        <is>
          <t>CLEBURNE</t>
        </is>
      </c>
      <c r="G109" s="59" t="n"/>
      <c r="O109" s="59" t="n"/>
      <c r="X109" s="61" t="n"/>
      <c r="Y109" s="61" t="n"/>
    </row>
    <row r="110" ht="14.25" customHeight="1" s="86">
      <c r="E110" s="53" t="inlineStr">
        <is>
          <t>AR</t>
        </is>
      </c>
      <c r="F110" s="53" t="inlineStr">
        <is>
          <t>CLEVELAND</t>
        </is>
      </c>
      <c r="G110" s="59" t="n"/>
      <c r="O110" s="59" t="n"/>
      <c r="X110" s="61" t="n"/>
      <c r="Y110" s="61" t="n"/>
    </row>
    <row r="111" ht="14.25" customHeight="1" s="86">
      <c r="E111" s="53" t="inlineStr">
        <is>
          <t>AR</t>
        </is>
      </c>
      <c r="F111" s="53" t="inlineStr">
        <is>
          <t>COLUMBIA</t>
        </is>
      </c>
      <c r="G111" s="59" t="n"/>
      <c r="O111" s="59" t="n"/>
      <c r="X111" s="61" t="n"/>
      <c r="Y111" s="61" t="n"/>
    </row>
    <row r="112" ht="14.25" customHeight="1" s="86">
      <c r="E112" s="53" t="inlineStr">
        <is>
          <t>AR</t>
        </is>
      </c>
      <c r="F112" s="53" t="inlineStr">
        <is>
          <t>CONWAY</t>
        </is>
      </c>
      <c r="G112" s="59" t="n"/>
      <c r="O112" s="59" t="n"/>
      <c r="X112" s="61" t="n"/>
      <c r="Y112" s="61" t="n"/>
    </row>
    <row r="113" ht="14.25" customHeight="1" s="86">
      <c r="E113" s="53" t="inlineStr">
        <is>
          <t>AR</t>
        </is>
      </c>
      <c r="F113" s="53" t="inlineStr">
        <is>
          <t>CRAIGHEAD</t>
        </is>
      </c>
      <c r="G113" s="59" t="n"/>
      <c r="O113" s="59" t="n"/>
      <c r="X113" s="61" t="n"/>
      <c r="Y113" s="61" t="n"/>
    </row>
    <row r="114" ht="14.25" customHeight="1" s="86">
      <c r="E114" s="53" t="inlineStr">
        <is>
          <t>AR</t>
        </is>
      </c>
      <c r="F114" s="53" t="inlineStr">
        <is>
          <t>CRAWFORD</t>
        </is>
      </c>
      <c r="G114" s="59" t="n"/>
      <c r="O114" s="59" t="n"/>
      <c r="X114" s="61" t="n"/>
      <c r="Y114" s="61" t="n"/>
    </row>
    <row r="115" ht="14.25" customHeight="1" s="86">
      <c r="E115" s="53" t="inlineStr">
        <is>
          <t>AR</t>
        </is>
      </c>
      <c r="F115" s="53" t="inlineStr">
        <is>
          <t>CRITTENDEN</t>
        </is>
      </c>
      <c r="G115" s="59" t="n"/>
      <c r="O115" s="59" t="n"/>
      <c r="X115" s="61" t="n"/>
      <c r="Y115" s="61" t="n"/>
    </row>
    <row r="116" ht="14.25" customHeight="1" s="86">
      <c r="E116" s="53" t="inlineStr">
        <is>
          <t>AR</t>
        </is>
      </c>
      <c r="F116" s="53" t="inlineStr">
        <is>
          <t>CROSS</t>
        </is>
      </c>
      <c r="G116" s="59" t="n"/>
      <c r="O116" s="59" t="n"/>
      <c r="X116" s="61" t="n"/>
      <c r="Y116" s="61" t="n"/>
    </row>
    <row r="117" ht="14.25" customHeight="1" s="86">
      <c r="E117" s="53" t="inlineStr">
        <is>
          <t>AR</t>
        </is>
      </c>
      <c r="F117" s="53" t="inlineStr">
        <is>
          <t>DALLAS</t>
        </is>
      </c>
      <c r="G117" s="59" t="n"/>
      <c r="O117" s="59" t="n"/>
      <c r="X117" s="61" t="n"/>
      <c r="Y117" s="61" t="n"/>
    </row>
    <row r="118" ht="14.25" customHeight="1" s="86">
      <c r="E118" s="53" t="inlineStr">
        <is>
          <t>AR</t>
        </is>
      </c>
      <c r="F118" s="53" t="inlineStr">
        <is>
          <t>DESHA</t>
        </is>
      </c>
      <c r="G118" s="59" t="n"/>
      <c r="O118" s="59" t="n"/>
      <c r="X118" s="61" t="n"/>
      <c r="Y118" s="61" t="n"/>
    </row>
    <row r="119" ht="14.25" customHeight="1" s="86">
      <c r="E119" s="53" t="inlineStr">
        <is>
          <t>AR</t>
        </is>
      </c>
      <c r="F119" s="53" t="inlineStr">
        <is>
          <t>DREW</t>
        </is>
      </c>
      <c r="G119" s="59" t="n"/>
      <c r="O119" s="59" t="n"/>
      <c r="X119" s="61" t="n"/>
      <c r="Y119" s="61" t="n"/>
    </row>
    <row r="120" ht="14.25" customHeight="1" s="86">
      <c r="E120" s="53" t="inlineStr">
        <is>
          <t>AR</t>
        </is>
      </c>
      <c r="F120" s="53" t="inlineStr">
        <is>
          <t>FAULKNER</t>
        </is>
      </c>
      <c r="G120" s="59" t="n"/>
      <c r="O120" s="59" t="n"/>
      <c r="X120" s="61" t="n"/>
      <c r="Y120" s="61" t="n"/>
    </row>
    <row r="121" ht="14.25" customHeight="1" s="86">
      <c r="E121" s="53" t="inlineStr">
        <is>
          <t>AR</t>
        </is>
      </c>
      <c r="F121" s="53" t="inlineStr">
        <is>
          <t>FRANKLIN</t>
        </is>
      </c>
      <c r="G121" s="59" t="n"/>
      <c r="O121" s="59" t="n"/>
      <c r="X121" s="61" t="n"/>
      <c r="Y121" s="61" t="n"/>
    </row>
    <row r="122" ht="14.25" customHeight="1" s="86">
      <c r="E122" s="53" t="inlineStr">
        <is>
          <t>AR</t>
        </is>
      </c>
      <c r="F122" s="53" t="inlineStr">
        <is>
          <t>FULTON</t>
        </is>
      </c>
      <c r="G122" s="59" t="n"/>
      <c r="O122" s="59" t="n"/>
      <c r="X122" s="61" t="n"/>
      <c r="Y122" s="61" t="n"/>
    </row>
    <row r="123" ht="14.25" customHeight="1" s="86">
      <c r="E123" s="53" t="inlineStr">
        <is>
          <t>AR</t>
        </is>
      </c>
      <c r="F123" s="53" t="inlineStr">
        <is>
          <t>GARLAND</t>
        </is>
      </c>
      <c r="G123" s="59" t="n"/>
      <c r="O123" s="59" t="n"/>
      <c r="X123" s="61" t="n"/>
      <c r="Y123" s="61" t="n"/>
    </row>
    <row r="124" ht="14.25" customHeight="1" s="86">
      <c r="E124" s="53" t="inlineStr">
        <is>
          <t>AR</t>
        </is>
      </c>
      <c r="F124" s="53" t="inlineStr">
        <is>
          <t>GRANT</t>
        </is>
      </c>
      <c r="G124" s="59" t="n"/>
      <c r="O124" s="59" t="n"/>
      <c r="X124" s="61" t="n"/>
      <c r="Y124" s="61" t="n"/>
    </row>
    <row r="125" ht="14.25" customHeight="1" s="86">
      <c r="E125" s="53" t="inlineStr">
        <is>
          <t>AR</t>
        </is>
      </c>
      <c r="F125" s="53" t="inlineStr">
        <is>
          <t>GREENE</t>
        </is>
      </c>
      <c r="G125" s="59" t="n"/>
      <c r="O125" s="59" t="n"/>
      <c r="X125" s="61" t="n"/>
      <c r="Y125" s="61" t="n"/>
    </row>
    <row r="126" ht="14.25" customHeight="1" s="86">
      <c r="E126" s="53" t="inlineStr">
        <is>
          <t>AR</t>
        </is>
      </c>
      <c r="F126" s="53" t="inlineStr">
        <is>
          <t>HEMPSTEAD</t>
        </is>
      </c>
      <c r="G126" s="59" t="n"/>
      <c r="O126" s="59" t="n"/>
      <c r="X126" s="61" t="n"/>
      <c r="Y126" s="61" t="n"/>
    </row>
    <row r="127" ht="14.25" customHeight="1" s="86">
      <c r="E127" s="53" t="inlineStr">
        <is>
          <t>AR</t>
        </is>
      </c>
      <c r="F127" s="53" t="inlineStr">
        <is>
          <t>HOT SPRING</t>
        </is>
      </c>
      <c r="G127" s="59" t="n"/>
      <c r="O127" s="59" t="n"/>
      <c r="X127" s="61" t="n"/>
      <c r="Y127" s="61" t="n"/>
    </row>
    <row r="128" ht="14.25" customHeight="1" s="86">
      <c r="E128" s="53" t="inlineStr">
        <is>
          <t>AR</t>
        </is>
      </c>
      <c r="F128" s="53" t="inlineStr">
        <is>
          <t>HOWARD</t>
        </is>
      </c>
      <c r="G128" s="59" t="n"/>
      <c r="O128" s="59" t="n"/>
      <c r="X128" s="61" t="n"/>
      <c r="Y128" s="61" t="n"/>
    </row>
    <row r="129" ht="14.25" customHeight="1" s="86">
      <c r="E129" s="53" t="inlineStr">
        <is>
          <t>AR</t>
        </is>
      </c>
      <c r="F129" s="53" t="inlineStr">
        <is>
          <t>INDEPENDENCE</t>
        </is>
      </c>
      <c r="G129" s="59" t="n"/>
      <c r="O129" s="59" t="n"/>
      <c r="X129" s="61" t="n"/>
      <c r="Y129" s="61" t="n"/>
    </row>
    <row r="130" ht="14.25" customHeight="1" s="86">
      <c r="E130" s="53" t="inlineStr">
        <is>
          <t>AR</t>
        </is>
      </c>
      <c r="F130" s="53" t="inlineStr">
        <is>
          <t>IZARD</t>
        </is>
      </c>
      <c r="G130" s="59" t="n"/>
      <c r="O130" s="59" t="n"/>
      <c r="X130" s="61" t="n"/>
      <c r="Y130" s="61" t="n"/>
    </row>
    <row r="131" ht="14.25" customHeight="1" s="86">
      <c r="E131" s="53" t="inlineStr">
        <is>
          <t>AR</t>
        </is>
      </c>
      <c r="F131" s="53" t="inlineStr">
        <is>
          <t>JACKSON</t>
        </is>
      </c>
      <c r="G131" s="59" t="n"/>
      <c r="O131" s="59" t="n"/>
      <c r="X131" s="61" t="n"/>
      <c r="Y131" s="61" t="n"/>
    </row>
    <row r="132" ht="14.25" customHeight="1" s="86">
      <c r="E132" s="53" t="inlineStr">
        <is>
          <t>AR</t>
        </is>
      </c>
      <c r="F132" s="53" t="inlineStr">
        <is>
          <t>JEFFERSON</t>
        </is>
      </c>
      <c r="G132" s="59" t="n"/>
      <c r="O132" s="59" t="n"/>
      <c r="X132" s="61" t="n"/>
      <c r="Y132" s="61" t="n"/>
    </row>
    <row r="133" ht="14.25" customHeight="1" s="86">
      <c r="E133" s="53" t="inlineStr">
        <is>
          <t>AR</t>
        </is>
      </c>
      <c r="F133" s="53" t="inlineStr">
        <is>
          <t>JOHNSON</t>
        </is>
      </c>
      <c r="G133" s="59" t="n"/>
      <c r="O133" s="59" t="n"/>
      <c r="X133" s="61" t="n"/>
      <c r="Y133" s="61" t="n"/>
    </row>
    <row r="134" ht="14.25" customHeight="1" s="86">
      <c r="E134" s="53" t="inlineStr">
        <is>
          <t>AR</t>
        </is>
      </c>
      <c r="F134" s="53" t="inlineStr">
        <is>
          <t>LAFAYETTE</t>
        </is>
      </c>
      <c r="G134" s="59" t="n"/>
      <c r="O134" s="59" t="n"/>
      <c r="X134" s="61" t="n"/>
      <c r="Y134" s="61" t="n"/>
    </row>
    <row r="135" ht="14.25" customHeight="1" s="86">
      <c r="E135" s="53" t="inlineStr">
        <is>
          <t>AR</t>
        </is>
      </c>
      <c r="F135" s="53" t="inlineStr">
        <is>
          <t>LAWRENCE</t>
        </is>
      </c>
      <c r="G135" s="59" t="n"/>
      <c r="O135" s="59" t="n"/>
      <c r="X135" s="61" t="n"/>
      <c r="Y135" s="61" t="n"/>
    </row>
    <row r="136" ht="14.25" customHeight="1" s="86">
      <c r="E136" s="53" t="inlineStr">
        <is>
          <t>AR</t>
        </is>
      </c>
      <c r="F136" s="53" t="inlineStr">
        <is>
          <t>LEE</t>
        </is>
      </c>
      <c r="G136" s="59" t="n"/>
      <c r="O136" s="59" t="n"/>
      <c r="X136" s="61" t="n"/>
      <c r="Y136" s="61" t="n"/>
    </row>
    <row r="137" ht="14.25" customHeight="1" s="86">
      <c r="E137" s="53" t="inlineStr">
        <is>
          <t>AR</t>
        </is>
      </c>
      <c r="F137" s="53" t="inlineStr">
        <is>
          <t>LINCOLN</t>
        </is>
      </c>
      <c r="G137" s="59" t="n"/>
      <c r="O137" s="59" t="n"/>
      <c r="X137" s="61" t="n"/>
      <c r="Y137" s="61" t="n"/>
    </row>
    <row r="138" ht="14.25" customHeight="1" s="86">
      <c r="E138" s="53" t="inlineStr">
        <is>
          <t>AR</t>
        </is>
      </c>
      <c r="F138" s="53" t="inlineStr">
        <is>
          <t>LITTLE RIVER</t>
        </is>
      </c>
      <c r="G138" s="59" t="n"/>
      <c r="O138" s="59" t="n"/>
      <c r="X138" s="61" t="n"/>
      <c r="Y138" s="61" t="n"/>
    </row>
    <row r="139" ht="14.25" customHeight="1" s="86">
      <c r="E139" s="53" t="inlineStr">
        <is>
          <t>AR</t>
        </is>
      </c>
      <c r="F139" s="53" t="inlineStr">
        <is>
          <t>LOGAN</t>
        </is>
      </c>
      <c r="G139" s="59" t="n"/>
      <c r="O139" s="59" t="n"/>
      <c r="X139" s="61" t="n"/>
      <c r="Y139" s="61" t="n"/>
    </row>
    <row r="140" ht="14.25" customHeight="1" s="86">
      <c r="E140" s="53" t="inlineStr">
        <is>
          <t>AR</t>
        </is>
      </c>
      <c r="F140" s="53" t="inlineStr">
        <is>
          <t>LONOKE</t>
        </is>
      </c>
      <c r="G140" s="59" t="n"/>
      <c r="O140" s="59" t="n"/>
      <c r="X140" s="61" t="n"/>
      <c r="Y140" s="61" t="n"/>
    </row>
    <row r="141" ht="14.25" customHeight="1" s="86">
      <c r="E141" s="53" t="inlineStr">
        <is>
          <t>AR</t>
        </is>
      </c>
      <c r="F141" s="53" t="inlineStr">
        <is>
          <t>MADISON</t>
        </is>
      </c>
      <c r="G141" s="59" t="n"/>
      <c r="O141" s="59" t="n"/>
      <c r="X141" s="61" t="n"/>
      <c r="Y141" s="61" t="n"/>
    </row>
    <row r="142" ht="14.25" customHeight="1" s="86">
      <c r="E142" s="53" t="inlineStr">
        <is>
          <t>AR</t>
        </is>
      </c>
      <c r="F142" s="53" t="inlineStr">
        <is>
          <t>MARION</t>
        </is>
      </c>
      <c r="G142" s="59" t="n"/>
      <c r="O142" s="59" t="n"/>
      <c r="X142" s="61" t="n"/>
      <c r="Y142" s="61" t="n"/>
    </row>
    <row r="143" ht="14.25" customHeight="1" s="86">
      <c r="E143" s="53" t="inlineStr">
        <is>
          <t>AR</t>
        </is>
      </c>
      <c r="F143" s="53" t="inlineStr">
        <is>
          <t>MILLER</t>
        </is>
      </c>
      <c r="G143" s="59" t="n"/>
      <c r="O143" s="59" t="n"/>
      <c r="X143" s="61" t="n"/>
      <c r="Y143" s="61" t="n"/>
    </row>
    <row r="144" ht="14.25" customHeight="1" s="86">
      <c r="E144" s="53" t="inlineStr">
        <is>
          <t>AR</t>
        </is>
      </c>
      <c r="F144" s="53" t="inlineStr">
        <is>
          <t>MISSISSIPPI</t>
        </is>
      </c>
      <c r="G144" s="59" t="n"/>
      <c r="O144" s="59" t="n"/>
      <c r="X144" s="61" t="n"/>
      <c r="Y144" s="61" t="n"/>
    </row>
    <row r="145" ht="14.25" customHeight="1" s="86">
      <c r="E145" s="53" t="inlineStr">
        <is>
          <t>AR</t>
        </is>
      </c>
      <c r="F145" s="53" t="inlineStr">
        <is>
          <t>MONROE</t>
        </is>
      </c>
      <c r="G145" s="59" t="n"/>
      <c r="O145" s="59" t="n"/>
      <c r="X145" s="61" t="n"/>
      <c r="Y145" s="61" t="n"/>
    </row>
    <row r="146" ht="14.25" customHeight="1" s="86">
      <c r="E146" s="53" t="inlineStr">
        <is>
          <t>AR</t>
        </is>
      </c>
      <c r="F146" s="53" t="inlineStr">
        <is>
          <t>MONTGOMERY</t>
        </is>
      </c>
      <c r="G146" s="59" t="n"/>
      <c r="O146" s="59" t="n"/>
      <c r="X146" s="61" t="n"/>
      <c r="Y146" s="61" t="n"/>
    </row>
    <row r="147" ht="14.25" customHeight="1" s="86">
      <c r="E147" s="53" t="inlineStr">
        <is>
          <t>AR</t>
        </is>
      </c>
      <c r="F147" s="53" t="inlineStr">
        <is>
          <t>NEVADA</t>
        </is>
      </c>
      <c r="G147" s="59" t="n"/>
      <c r="O147" s="59" t="n"/>
      <c r="X147" s="61" t="n"/>
      <c r="Y147" s="61" t="n"/>
    </row>
    <row r="148" ht="14.25" customHeight="1" s="86">
      <c r="E148" s="53" t="inlineStr">
        <is>
          <t>AR</t>
        </is>
      </c>
      <c r="F148" s="53" t="inlineStr">
        <is>
          <t>NEWTON</t>
        </is>
      </c>
      <c r="G148" s="59" t="n"/>
      <c r="O148" s="59" t="n"/>
      <c r="X148" s="61" t="n"/>
      <c r="Y148" s="61" t="n"/>
    </row>
    <row r="149" ht="14.25" customHeight="1" s="86">
      <c r="E149" s="53" t="inlineStr">
        <is>
          <t>AR</t>
        </is>
      </c>
      <c r="F149" s="53" t="inlineStr">
        <is>
          <t>OUACHITA</t>
        </is>
      </c>
      <c r="G149" s="59" t="n"/>
      <c r="O149" s="59" t="n"/>
      <c r="X149" s="61" t="n"/>
      <c r="Y149" s="61" t="n"/>
    </row>
    <row r="150" ht="14.25" customHeight="1" s="86">
      <c r="E150" s="53" t="inlineStr">
        <is>
          <t>AR</t>
        </is>
      </c>
      <c r="F150" s="53" t="inlineStr">
        <is>
          <t>PERRY</t>
        </is>
      </c>
      <c r="G150" s="59" t="n"/>
      <c r="O150" s="59" t="n"/>
      <c r="X150" s="61" t="n"/>
      <c r="Y150" s="61" t="n"/>
    </row>
    <row r="151" ht="14.25" customHeight="1" s="86">
      <c r="E151" s="53" t="inlineStr">
        <is>
          <t>AR</t>
        </is>
      </c>
      <c r="F151" s="53" t="inlineStr">
        <is>
          <t>PHILLIPS</t>
        </is>
      </c>
      <c r="G151" s="59" t="n"/>
      <c r="O151" s="59" t="n"/>
      <c r="X151" s="61" t="n"/>
      <c r="Y151" s="61" t="n"/>
    </row>
    <row r="152" ht="14.25" customHeight="1" s="86">
      <c r="E152" s="53" t="inlineStr">
        <is>
          <t>AR</t>
        </is>
      </c>
      <c r="F152" s="53" t="inlineStr">
        <is>
          <t>PIKE</t>
        </is>
      </c>
      <c r="G152" s="59" t="n"/>
      <c r="O152" s="59" t="n"/>
      <c r="X152" s="61" t="n"/>
      <c r="Y152" s="61" t="n"/>
    </row>
    <row r="153" ht="14.25" customHeight="1" s="86">
      <c r="E153" s="53" t="inlineStr">
        <is>
          <t>AR</t>
        </is>
      </c>
      <c r="F153" s="53" t="inlineStr">
        <is>
          <t>POINSETT</t>
        </is>
      </c>
      <c r="G153" s="59" t="n"/>
      <c r="O153" s="59" t="n"/>
      <c r="X153" s="61" t="n"/>
      <c r="Y153" s="61" t="n"/>
    </row>
    <row r="154" ht="14.25" customHeight="1" s="86">
      <c r="E154" s="53" t="inlineStr">
        <is>
          <t>AR</t>
        </is>
      </c>
      <c r="F154" s="53" t="inlineStr">
        <is>
          <t>POLK</t>
        </is>
      </c>
      <c r="G154" s="59" t="n"/>
      <c r="O154" s="59" t="n"/>
      <c r="X154" s="61" t="n"/>
      <c r="Y154" s="61" t="n"/>
    </row>
    <row r="155" ht="14.25" customHeight="1" s="86">
      <c r="E155" s="53" t="inlineStr">
        <is>
          <t>AR</t>
        </is>
      </c>
      <c r="F155" s="53" t="inlineStr">
        <is>
          <t>POPE</t>
        </is>
      </c>
      <c r="G155" s="59" t="n"/>
      <c r="O155" s="59" t="n"/>
      <c r="X155" s="61" t="n"/>
      <c r="Y155" s="61" t="n"/>
    </row>
    <row r="156" ht="14.25" customHeight="1" s="86">
      <c r="E156" s="53" t="inlineStr">
        <is>
          <t>AR</t>
        </is>
      </c>
      <c r="F156" s="53" t="inlineStr">
        <is>
          <t>PRAIRIE</t>
        </is>
      </c>
      <c r="G156" s="59" t="n"/>
      <c r="O156" s="59" t="n"/>
      <c r="X156" s="61" t="n"/>
      <c r="Y156" s="61" t="n"/>
    </row>
    <row r="157" ht="14.25" customHeight="1" s="86">
      <c r="E157" s="53" t="inlineStr">
        <is>
          <t>AR</t>
        </is>
      </c>
      <c r="F157" s="53" t="inlineStr">
        <is>
          <t>PULASKI</t>
        </is>
      </c>
      <c r="G157" s="59" t="n"/>
      <c r="O157" s="59" t="n"/>
      <c r="X157" s="61" t="n"/>
      <c r="Y157" s="61" t="n"/>
    </row>
    <row r="158" ht="14.25" customHeight="1" s="86">
      <c r="E158" s="53" t="inlineStr">
        <is>
          <t>AR</t>
        </is>
      </c>
      <c r="F158" s="53" t="inlineStr">
        <is>
          <t>RANDOLPH</t>
        </is>
      </c>
      <c r="G158" s="59" t="n"/>
      <c r="O158" s="59" t="n"/>
      <c r="X158" s="61" t="n"/>
      <c r="Y158" s="61" t="n"/>
    </row>
    <row r="159" ht="14.25" customHeight="1" s="86">
      <c r="E159" s="53" t="inlineStr">
        <is>
          <t>AR</t>
        </is>
      </c>
      <c r="F159" s="53" t="inlineStr">
        <is>
          <t>SAINT FRANCIS</t>
        </is>
      </c>
      <c r="G159" s="59" t="n"/>
      <c r="O159" s="59" t="n"/>
      <c r="X159" s="61" t="n"/>
      <c r="Y159" s="61" t="n"/>
    </row>
    <row r="160" ht="14.25" customHeight="1" s="86">
      <c r="E160" s="53" t="inlineStr">
        <is>
          <t>AR</t>
        </is>
      </c>
      <c r="F160" s="53" t="inlineStr">
        <is>
          <t>SALINE</t>
        </is>
      </c>
      <c r="G160" s="59" t="n"/>
      <c r="O160" s="59" t="n"/>
      <c r="X160" s="61" t="n"/>
      <c r="Y160" s="61" t="n"/>
    </row>
    <row r="161" ht="14.25" customHeight="1" s="86">
      <c r="E161" s="53" t="inlineStr">
        <is>
          <t>AR</t>
        </is>
      </c>
      <c r="F161" s="53" t="inlineStr">
        <is>
          <t>SCOTT</t>
        </is>
      </c>
      <c r="G161" s="59" t="n"/>
      <c r="O161" s="59" t="n"/>
      <c r="X161" s="61" t="n"/>
      <c r="Y161" s="61" t="n"/>
    </row>
    <row r="162" ht="14.25" customHeight="1" s="86">
      <c r="E162" s="53" t="inlineStr">
        <is>
          <t>AR</t>
        </is>
      </c>
      <c r="F162" s="53" t="inlineStr">
        <is>
          <t>SEARCY</t>
        </is>
      </c>
      <c r="G162" s="59" t="n"/>
      <c r="O162" s="59" t="n"/>
      <c r="X162" s="61" t="n"/>
      <c r="Y162" s="61" t="n"/>
    </row>
    <row r="163" ht="14.25" customHeight="1" s="86">
      <c r="E163" s="53" t="inlineStr">
        <is>
          <t>AR</t>
        </is>
      </c>
      <c r="F163" s="53" t="inlineStr">
        <is>
          <t>SEBASTIAN</t>
        </is>
      </c>
      <c r="G163" s="59" t="n"/>
      <c r="O163" s="59" t="n"/>
      <c r="X163" s="61" t="n"/>
      <c r="Y163" s="61" t="n"/>
    </row>
    <row r="164" ht="14.25" customHeight="1" s="86">
      <c r="E164" s="53" t="inlineStr">
        <is>
          <t>AR</t>
        </is>
      </c>
      <c r="F164" s="53" t="inlineStr">
        <is>
          <t>SEVIER</t>
        </is>
      </c>
      <c r="G164" s="59" t="n"/>
      <c r="O164" s="59" t="n"/>
      <c r="X164" s="61" t="n"/>
      <c r="Y164" s="61" t="n"/>
    </row>
    <row r="165" ht="14.25" customHeight="1" s="86">
      <c r="E165" s="53" t="inlineStr">
        <is>
          <t>AR</t>
        </is>
      </c>
      <c r="F165" s="53" t="inlineStr">
        <is>
          <t>SHARP</t>
        </is>
      </c>
      <c r="G165" s="59" t="n"/>
      <c r="O165" s="59" t="n"/>
      <c r="X165" s="61" t="n"/>
      <c r="Y165" s="61" t="n"/>
    </row>
    <row r="166" ht="14.25" customHeight="1" s="86">
      <c r="E166" s="53" t="inlineStr">
        <is>
          <t>AR</t>
        </is>
      </c>
      <c r="F166" s="53" t="inlineStr">
        <is>
          <t>STONE</t>
        </is>
      </c>
      <c r="G166" s="59" t="n"/>
      <c r="O166" s="59" t="n"/>
      <c r="X166" s="61" t="n"/>
      <c r="Y166" s="61" t="n"/>
    </row>
    <row r="167" ht="14.25" customHeight="1" s="86">
      <c r="E167" s="53" t="inlineStr">
        <is>
          <t>AR</t>
        </is>
      </c>
      <c r="F167" s="53" t="inlineStr">
        <is>
          <t>UNION</t>
        </is>
      </c>
      <c r="G167" s="59" t="n"/>
      <c r="O167" s="59" t="n"/>
      <c r="X167" s="61" t="n"/>
      <c r="Y167" s="61" t="n"/>
    </row>
    <row r="168" ht="14.25" customHeight="1" s="86">
      <c r="E168" s="53" t="inlineStr">
        <is>
          <t>AR</t>
        </is>
      </c>
      <c r="F168" s="53" t="inlineStr">
        <is>
          <t>VAN BUREN</t>
        </is>
      </c>
      <c r="G168" s="59" t="n"/>
      <c r="O168" s="59" t="n"/>
      <c r="X168" s="61" t="n"/>
      <c r="Y168" s="61" t="n"/>
    </row>
    <row r="169" ht="14.25" customHeight="1" s="86">
      <c r="E169" s="53" t="inlineStr">
        <is>
          <t>AR</t>
        </is>
      </c>
      <c r="F169" s="53" t="inlineStr">
        <is>
          <t>WASHINGTON</t>
        </is>
      </c>
      <c r="G169" s="59" t="n"/>
      <c r="O169" s="59" t="n"/>
      <c r="X169" s="61" t="n"/>
      <c r="Y169" s="61" t="n"/>
    </row>
    <row r="170" ht="14.25" customHeight="1" s="86">
      <c r="E170" s="53" t="inlineStr">
        <is>
          <t>AR</t>
        </is>
      </c>
      <c r="F170" s="53" t="inlineStr">
        <is>
          <t>WHITE</t>
        </is>
      </c>
      <c r="G170" s="59" t="n"/>
      <c r="O170" s="59" t="n"/>
      <c r="X170" s="61" t="n"/>
      <c r="Y170" s="61" t="n"/>
    </row>
    <row r="171" ht="14.25" customHeight="1" s="86">
      <c r="E171" s="53" t="inlineStr">
        <is>
          <t>AR</t>
        </is>
      </c>
      <c r="F171" s="53" t="inlineStr">
        <is>
          <t>WOODRUFF</t>
        </is>
      </c>
      <c r="G171" s="59" t="n"/>
      <c r="O171" s="59" t="n"/>
      <c r="X171" s="61" t="n"/>
      <c r="Y171" s="61" t="n"/>
    </row>
    <row r="172" ht="14.25" customHeight="1" s="86">
      <c r="E172" s="53" t="inlineStr">
        <is>
          <t>AR</t>
        </is>
      </c>
      <c r="F172" s="53" t="inlineStr">
        <is>
          <t>YELL</t>
        </is>
      </c>
      <c r="G172" s="59" t="n"/>
      <c r="O172" s="59" t="n"/>
      <c r="X172" s="61" t="n"/>
      <c r="Y172" s="61" t="n"/>
    </row>
    <row r="173" ht="14.25" customHeight="1" s="86">
      <c r="E173" s="53" t="inlineStr">
        <is>
          <t>AS</t>
        </is>
      </c>
      <c r="F173" s="53" t="inlineStr">
        <is>
          <t>HAWAII</t>
        </is>
      </c>
      <c r="G173" s="59" t="n"/>
      <c r="O173" s="59" t="n"/>
      <c r="X173" s="61" t="n"/>
      <c r="Y173" s="61" t="n"/>
    </row>
    <row r="174" ht="14.25" customHeight="1" s="86">
      <c r="E174" s="53" t="inlineStr">
        <is>
          <t>AZ</t>
        </is>
      </c>
      <c r="F174" s="53" t="inlineStr">
        <is>
          <t>APACHE</t>
        </is>
      </c>
      <c r="G174" s="59" t="n"/>
      <c r="O174" s="59" t="n"/>
      <c r="X174" s="61" t="n"/>
      <c r="Y174" s="61" t="n"/>
    </row>
    <row r="175" ht="14.25" customHeight="1" s="86">
      <c r="E175" s="53" t="inlineStr">
        <is>
          <t>AZ</t>
        </is>
      </c>
      <c r="F175" s="53" t="inlineStr">
        <is>
          <t>COCHISE</t>
        </is>
      </c>
      <c r="G175" s="59" t="n"/>
      <c r="O175" s="59" t="n"/>
      <c r="X175" s="61" t="n"/>
      <c r="Y175" s="61" t="n"/>
    </row>
    <row r="176" ht="14.25" customHeight="1" s="86">
      <c r="E176" s="53" t="inlineStr">
        <is>
          <t>AZ</t>
        </is>
      </c>
      <c r="F176" s="53" t="inlineStr">
        <is>
          <t>COCONINO</t>
        </is>
      </c>
      <c r="G176" s="59" t="n"/>
      <c r="O176" s="59" t="n"/>
      <c r="X176" s="61" t="n"/>
      <c r="Y176" s="61" t="n"/>
    </row>
    <row r="177" ht="14.25" customHeight="1" s="86">
      <c r="E177" s="53" t="inlineStr">
        <is>
          <t>AZ</t>
        </is>
      </c>
      <c r="F177" s="53" t="inlineStr">
        <is>
          <t>GILA</t>
        </is>
      </c>
      <c r="G177" s="59" t="n"/>
      <c r="O177" s="59" t="n"/>
      <c r="X177" s="61" t="n"/>
      <c r="Y177" s="61" t="n"/>
    </row>
    <row r="178" ht="14.25" customHeight="1" s="86">
      <c r="E178" s="53" t="inlineStr">
        <is>
          <t>AZ</t>
        </is>
      </c>
      <c r="F178" s="53" t="inlineStr">
        <is>
          <t>GRAHAM</t>
        </is>
      </c>
      <c r="G178" s="59" t="n"/>
      <c r="O178" s="59" t="n"/>
      <c r="X178" s="61" t="n"/>
      <c r="Y178" s="61" t="n"/>
    </row>
    <row r="179" ht="14.25" customHeight="1" s="86">
      <c r="E179" s="53" t="inlineStr">
        <is>
          <t>AZ</t>
        </is>
      </c>
      <c r="F179" s="53" t="inlineStr">
        <is>
          <t>GREENLEE</t>
        </is>
      </c>
      <c r="G179" s="59" t="n"/>
      <c r="O179" s="59" t="n"/>
      <c r="X179" s="61" t="n"/>
      <c r="Y179" s="61" t="n"/>
    </row>
    <row r="180" ht="14.25" customHeight="1" s="86">
      <c r="E180" s="53" t="inlineStr">
        <is>
          <t>AZ</t>
        </is>
      </c>
      <c r="F180" s="53" t="inlineStr">
        <is>
          <t>LA PAZ</t>
        </is>
      </c>
      <c r="G180" s="59" t="n"/>
      <c r="O180" s="59" t="n"/>
      <c r="X180" s="61" t="n"/>
      <c r="Y180" s="61" t="n"/>
    </row>
    <row r="181" ht="14.25" customHeight="1" s="86">
      <c r="E181" s="53" t="inlineStr">
        <is>
          <t>AZ</t>
        </is>
      </c>
      <c r="F181" s="53" t="inlineStr">
        <is>
          <t>MARICOPA</t>
        </is>
      </c>
      <c r="G181" s="59" t="n"/>
      <c r="O181" s="59" t="n"/>
      <c r="X181" s="61" t="n"/>
      <c r="Y181" s="61" t="n"/>
    </row>
    <row r="182" ht="14.25" customHeight="1" s="86">
      <c r="E182" s="53" t="inlineStr">
        <is>
          <t>AZ</t>
        </is>
      </c>
      <c r="F182" s="53" t="inlineStr">
        <is>
          <t>MOHAVE</t>
        </is>
      </c>
      <c r="G182" s="59" t="n"/>
      <c r="O182" s="59" t="n"/>
      <c r="X182" s="61" t="n"/>
      <c r="Y182" s="61" t="n"/>
    </row>
    <row r="183" ht="14.25" customHeight="1" s="86">
      <c r="E183" s="53" t="inlineStr">
        <is>
          <t>AZ</t>
        </is>
      </c>
      <c r="F183" s="53" t="inlineStr">
        <is>
          <t>NAVAJO</t>
        </is>
      </c>
      <c r="G183" s="59" t="n"/>
      <c r="O183" s="59" t="n"/>
      <c r="X183" s="61" t="n"/>
      <c r="Y183" s="61" t="n"/>
    </row>
    <row r="184" ht="14.25" customHeight="1" s="86">
      <c r="E184" s="53" t="inlineStr">
        <is>
          <t>AZ</t>
        </is>
      </c>
      <c r="F184" s="53" t="inlineStr">
        <is>
          <t>PIMA</t>
        </is>
      </c>
      <c r="G184" s="59" t="n"/>
      <c r="O184" s="59" t="n"/>
      <c r="X184" s="61" t="n"/>
      <c r="Y184" s="61" t="n"/>
    </row>
    <row r="185" ht="14.25" customHeight="1" s="86">
      <c r="E185" s="53" t="inlineStr">
        <is>
          <t>AZ</t>
        </is>
      </c>
      <c r="F185" s="53" t="inlineStr">
        <is>
          <t>PINAL</t>
        </is>
      </c>
      <c r="G185" s="59" t="n"/>
      <c r="O185" s="59" t="n"/>
      <c r="X185" s="61" t="n"/>
      <c r="Y185" s="61" t="n"/>
    </row>
    <row r="186" ht="14.25" customHeight="1" s="86">
      <c r="E186" s="53" t="inlineStr">
        <is>
          <t>AZ</t>
        </is>
      </c>
      <c r="F186" s="53" t="inlineStr">
        <is>
          <t>SANTA CRUZ</t>
        </is>
      </c>
      <c r="G186" s="59" t="n"/>
      <c r="O186" s="59" t="n"/>
      <c r="X186" s="61" t="n"/>
      <c r="Y186" s="61" t="n"/>
    </row>
    <row r="187" ht="14.25" customHeight="1" s="86">
      <c r="E187" s="53" t="inlineStr">
        <is>
          <t>AZ</t>
        </is>
      </c>
      <c r="F187" s="53" t="inlineStr">
        <is>
          <t>YAVAPAI</t>
        </is>
      </c>
      <c r="G187" s="59" t="n"/>
      <c r="O187" s="59" t="n"/>
      <c r="X187" s="61" t="n"/>
      <c r="Y187" s="61" t="n"/>
    </row>
    <row r="188" ht="14.25" customHeight="1" s="86">
      <c r="E188" s="53" t="inlineStr">
        <is>
          <t>AZ</t>
        </is>
      </c>
      <c r="F188" s="53" t="inlineStr">
        <is>
          <t>YUMA</t>
        </is>
      </c>
      <c r="G188" s="59" t="n"/>
      <c r="O188" s="59" t="n"/>
      <c r="X188" s="61" t="n"/>
      <c r="Y188" s="61" t="n"/>
    </row>
    <row r="189" ht="14.25" customHeight="1" s="86">
      <c r="E189" s="53" t="inlineStr">
        <is>
          <t>CA</t>
        </is>
      </c>
      <c r="F189" s="53" t="inlineStr">
        <is>
          <t>ALAMEDA</t>
        </is>
      </c>
      <c r="G189" s="59" t="n"/>
      <c r="O189" s="59" t="n"/>
      <c r="X189" s="61" t="n"/>
      <c r="Y189" s="61" t="n"/>
    </row>
    <row r="190" ht="14.25" customHeight="1" s="86">
      <c r="E190" s="53" t="inlineStr">
        <is>
          <t>CA</t>
        </is>
      </c>
      <c r="F190" s="53" t="inlineStr">
        <is>
          <t>ALPINE</t>
        </is>
      </c>
      <c r="G190" s="59" t="n"/>
      <c r="O190" s="59" t="n"/>
      <c r="X190" s="61" t="n"/>
      <c r="Y190" s="61" t="n"/>
    </row>
    <row r="191" ht="14.25" customHeight="1" s="86">
      <c r="E191" s="53" t="inlineStr">
        <is>
          <t>CA</t>
        </is>
      </c>
      <c r="F191" s="53" t="inlineStr">
        <is>
          <t>AMADOR</t>
        </is>
      </c>
      <c r="G191" s="59" t="n"/>
      <c r="O191" s="59" t="n"/>
      <c r="X191" s="61" t="n"/>
      <c r="Y191" s="61" t="n"/>
    </row>
    <row r="192" ht="14.25" customHeight="1" s="86">
      <c r="E192" s="53" t="inlineStr">
        <is>
          <t>CA</t>
        </is>
      </c>
      <c r="F192" s="53" t="inlineStr">
        <is>
          <t>BUTTE</t>
        </is>
      </c>
      <c r="G192" s="59" t="n"/>
      <c r="O192" s="59" t="n"/>
      <c r="X192" s="61" t="n"/>
      <c r="Y192" s="61" t="n"/>
    </row>
    <row r="193" ht="14.25" customHeight="1" s="86">
      <c r="E193" s="53" t="inlineStr">
        <is>
          <t>CA</t>
        </is>
      </c>
      <c r="F193" s="53" t="inlineStr">
        <is>
          <t>CALAVERAS</t>
        </is>
      </c>
      <c r="G193" s="59" t="n"/>
      <c r="O193" s="59" t="n"/>
      <c r="X193" s="61" t="n"/>
      <c r="Y193" s="61" t="n"/>
    </row>
    <row r="194" ht="14.25" customHeight="1" s="86">
      <c r="E194" s="53" t="inlineStr">
        <is>
          <t>CA</t>
        </is>
      </c>
      <c r="F194" s="53" t="inlineStr">
        <is>
          <t>COLUSA</t>
        </is>
      </c>
      <c r="G194" s="59" t="n"/>
      <c r="O194" s="59" t="n"/>
      <c r="X194" s="61" t="n"/>
      <c r="Y194" s="61" t="n"/>
    </row>
    <row r="195" ht="14.25" customHeight="1" s="86">
      <c r="E195" s="53" t="inlineStr">
        <is>
          <t>CA</t>
        </is>
      </c>
      <c r="F195" s="53" t="inlineStr">
        <is>
          <t>CONTRA COSTA</t>
        </is>
      </c>
      <c r="G195" s="59" t="n"/>
      <c r="O195" s="59" t="n"/>
      <c r="X195" s="61" t="n"/>
      <c r="Y195" s="61" t="n"/>
    </row>
    <row r="196" ht="14.25" customHeight="1" s="86">
      <c r="E196" s="53" t="inlineStr">
        <is>
          <t>CA</t>
        </is>
      </c>
      <c r="F196" s="53" t="inlineStr">
        <is>
          <t>DEL NORTE</t>
        </is>
      </c>
      <c r="G196" s="59" t="n"/>
      <c r="O196" s="59" t="n"/>
      <c r="X196" s="61" t="n"/>
      <c r="Y196" s="61" t="n"/>
    </row>
    <row r="197" ht="14.25" customHeight="1" s="86">
      <c r="E197" s="53" t="inlineStr">
        <is>
          <t>CA</t>
        </is>
      </c>
      <c r="F197" s="53" t="inlineStr">
        <is>
          <t>EL DORADO</t>
        </is>
      </c>
      <c r="G197" s="59" t="n"/>
      <c r="O197" s="59" t="n"/>
      <c r="X197" s="61" t="n"/>
      <c r="Y197" s="61" t="n"/>
    </row>
    <row r="198" ht="14.25" customHeight="1" s="86">
      <c r="E198" s="53" t="inlineStr">
        <is>
          <t>CA</t>
        </is>
      </c>
      <c r="F198" s="53" t="inlineStr">
        <is>
          <t>FRESNO</t>
        </is>
      </c>
      <c r="G198" s="59" t="n"/>
      <c r="O198" s="59" t="n"/>
      <c r="X198" s="61" t="n"/>
      <c r="Y198" s="61" t="n"/>
    </row>
    <row r="199" ht="14.25" customHeight="1" s="86">
      <c r="E199" s="53" t="inlineStr">
        <is>
          <t>CA</t>
        </is>
      </c>
      <c r="F199" s="53" t="inlineStr">
        <is>
          <t>GLENN</t>
        </is>
      </c>
      <c r="G199" s="59" t="n"/>
      <c r="O199" s="59" t="n"/>
      <c r="X199" s="61" t="n"/>
      <c r="Y199" s="61" t="n"/>
    </row>
    <row r="200" ht="14.25" customHeight="1" s="86">
      <c r="E200" s="53" t="inlineStr">
        <is>
          <t>CA</t>
        </is>
      </c>
      <c r="F200" s="53" t="inlineStr">
        <is>
          <t>HUMBOLDT</t>
        </is>
      </c>
      <c r="G200" s="59" t="n"/>
      <c r="O200" s="59" t="n"/>
      <c r="X200" s="61" t="n"/>
      <c r="Y200" s="61" t="n"/>
    </row>
    <row r="201" ht="14.25" customHeight="1" s="86">
      <c r="E201" s="53" t="inlineStr">
        <is>
          <t>CA</t>
        </is>
      </c>
      <c r="F201" s="53" t="inlineStr">
        <is>
          <t>IMPERIAL</t>
        </is>
      </c>
      <c r="G201" s="59" t="n"/>
      <c r="O201" s="59" t="n"/>
      <c r="X201" s="61" t="n"/>
      <c r="Y201" s="61" t="n"/>
    </row>
    <row r="202" ht="14.25" customHeight="1" s="86">
      <c r="E202" s="53" t="inlineStr">
        <is>
          <t>CA</t>
        </is>
      </c>
      <c r="F202" s="53" t="inlineStr">
        <is>
          <t>INYO</t>
        </is>
      </c>
      <c r="G202" s="59" t="n"/>
      <c r="O202" s="59" t="n"/>
      <c r="X202" s="61" t="n"/>
      <c r="Y202" s="61" t="n"/>
    </row>
    <row r="203" ht="14.25" customHeight="1" s="86">
      <c r="E203" s="53" t="inlineStr">
        <is>
          <t>CA</t>
        </is>
      </c>
      <c r="F203" s="53" t="inlineStr">
        <is>
          <t>KERN</t>
        </is>
      </c>
      <c r="G203" s="59" t="n"/>
      <c r="O203" s="59" t="n"/>
      <c r="X203" s="61" t="n"/>
      <c r="Y203" s="61" t="n"/>
    </row>
    <row r="204" ht="14.25" customHeight="1" s="86">
      <c r="E204" s="53" t="inlineStr">
        <is>
          <t>CA</t>
        </is>
      </c>
      <c r="F204" s="53" t="inlineStr">
        <is>
          <t>KINGS</t>
        </is>
      </c>
      <c r="G204" s="59" t="n"/>
      <c r="O204" s="59" t="n"/>
      <c r="X204" s="61" t="n"/>
      <c r="Y204" s="61" t="n"/>
    </row>
    <row r="205" ht="14.25" customHeight="1" s="86">
      <c r="E205" s="53" t="inlineStr">
        <is>
          <t>CA</t>
        </is>
      </c>
      <c r="F205" s="53" t="inlineStr">
        <is>
          <t>LAKE</t>
        </is>
      </c>
      <c r="G205" s="59" t="n"/>
      <c r="O205" s="59" t="n"/>
      <c r="X205" s="61" t="n"/>
      <c r="Y205" s="61" t="n"/>
    </row>
    <row r="206" ht="14.25" customHeight="1" s="86">
      <c r="E206" s="53" t="inlineStr">
        <is>
          <t>CA</t>
        </is>
      </c>
      <c r="F206" s="53" t="inlineStr">
        <is>
          <t>LASSEN</t>
        </is>
      </c>
      <c r="G206" s="59" t="n"/>
      <c r="O206" s="59" t="n"/>
      <c r="X206" s="61" t="n"/>
      <c r="Y206" s="61" t="n"/>
    </row>
    <row r="207" ht="14.25" customHeight="1" s="86">
      <c r="E207" s="53" t="inlineStr">
        <is>
          <t>CA</t>
        </is>
      </c>
      <c r="F207" s="53" t="inlineStr">
        <is>
          <t>LOS ANGELES</t>
        </is>
      </c>
      <c r="G207" s="59" t="n"/>
      <c r="O207" s="59" t="n"/>
      <c r="X207" s="61" t="n"/>
      <c r="Y207" s="61" t="n"/>
    </row>
    <row r="208" ht="14.25" customHeight="1" s="86">
      <c r="E208" s="53" t="inlineStr">
        <is>
          <t>CA</t>
        </is>
      </c>
      <c r="F208" s="53" t="inlineStr">
        <is>
          <t>MADERA</t>
        </is>
      </c>
      <c r="G208" s="59" t="n"/>
      <c r="O208" s="59" t="n"/>
      <c r="X208" s="61" t="n"/>
      <c r="Y208" s="61" t="n"/>
    </row>
    <row r="209" ht="14.25" customHeight="1" s="86">
      <c r="E209" s="53" t="inlineStr">
        <is>
          <t>CA</t>
        </is>
      </c>
      <c r="F209" s="53" t="inlineStr">
        <is>
          <t>MARIN</t>
        </is>
      </c>
      <c r="G209" s="59" t="n"/>
      <c r="O209" s="59" t="n"/>
      <c r="X209" s="61" t="n"/>
      <c r="Y209" s="61" t="n"/>
    </row>
    <row r="210" ht="14.25" customHeight="1" s="86">
      <c r="E210" s="53" t="inlineStr">
        <is>
          <t>CA</t>
        </is>
      </c>
      <c r="F210" s="53" t="inlineStr">
        <is>
          <t>MARIPOSA</t>
        </is>
      </c>
      <c r="G210" s="59" t="n"/>
      <c r="O210" s="59" t="n"/>
      <c r="X210" s="61" t="n"/>
      <c r="Y210" s="61" t="n"/>
    </row>
    <row r="211" ht="14.25" customHeight="1" s="86">
      <c r="E211" s="53" t="inlineStr">
        <is>
          <t>CA</t>
        </is>
      </c>
      <c r="F211" s="53" t="inlineStr">
        <is>
          <t>MENDOCINO</t>
        </is>
      </c>
      <c r="G211" s="59" t="n"/>
      <c r="O211" s="59" t="n"/>
      <c r="X211" s="61" t="n"/>
      <c r="Y211" s="61" t="n"/>
    </row>
    <row r="212" ht="14.25" customHeight="1" s="86">
      <c r="E212" s="53" t="inlineStr">
        <is>
          <t>CA</t>
        </is>
      </c>
      <c r="F212" s="53" t="inlineStr">
        <is>
          <t>MERCED</t>
        </is>
      </c>
      <c r="G212" s="59" t="n"/>
      <c r="O212" s="59" t="n"/>
      <c r="X212" s="61" t="n"/>
      <c r="Y212" s="61" t="n"/>
    </row>
    <row r="213" ht="14.25" customHeight="1" s="86">
      <c r="E213" s="53" t="inlineStr">
        <is>
          <t>CA</t>
        </is>
      </c>
      <c r="F213" s="53" t="inlineStr">
        <is>
          <t>MODOC</t>
        </is>
      </c>
      <c r="G213" s="59" t="n"/>
      <c r="O213" s="59" t="n"/>
      <c r="X213" s="61" t="n"/>
      <c r="Y213" s="61" t="n"/>
    </row>
    <row r="214" ht="14.25" customHeight="1" s="86">
      <c r="E214" s="53" t="inlineStr">
        <is>
          <t>CA</t>
        </is>
      </c>
      <c r="F214" s="53" t="inlineStr">
        <is>
          <t>MONO</t>
        </is>
      </c>
      <c r="G214" s="59" t="n"/>
      <c r="O214" s="59" t="n"/>
      <c r="X214" s="61" t="n"/>
      <c r="Y214" s="61" t="n"/>
    </row>
    <row r="215" ht="14.25" customHeight="1" s="86">
      <c r="E215" s="53" t="inlineStr">
        <is>
          <t>CA</t>
        </is>
      </c>
      <c r="F215" s="53" t="inlineStr">
        <is>
          <t>MONTEREY</t>
        </is>
      </c>
      <c r="G215" s="59" t="n"/>
      <c r="O215" s="59" t="n"/>
      <c r="X215" s="61" t="n"/>
      <c r="Y215" s="61" t="n"/>
    </row>
    <row r="216" ht="14.25" customHeight="1" s="86">
      <c r="E216" s="53" t="inlineStr">
        <is>
          <t>CA</t>
        </is>
      </c>
      <c r="F216" s="53" t="inlineStr">
        <is>
          <t>NAPA</t>
        </is>
      </c>
      <c r="G216" s="59" t="n"/>
      <c r="O216" s="59" t="n"/>
      <c r="X216" s="61" t="n"/>
      <c r="Y216" s="61" t="n"/>
    </row>
    <row r="217" ht="14.25" customHeight="1" s="86">
      <c r="E217" s="53" t="inlineStr">
        <is>
          <t>CA</t>
        </is>
      </c>
      <c r="F217" s="53" t="inlineStr">
        <is>
          <t>NEVADA</t>
        </is>
      </c>
      <c r="G217" s="59" t="n"/>
      <c r="O217" s="59" t="n"/>
      <c r="X217" s="61" t="n"/>
      <c r="Y217" s="61" t="n"/>
    </row>
    <row r="218" ht="14.25" customHeight="1" s="86">
      <c r="E218" s="53" t="inlineStr">
        <is>
          <t>CA</t>
        </is>
      </c>
      <c r="F218" s="53" t="inlineStr">
        <is>
          <t>ORANGE</t>
        </is>
      </c>
      <c r="G218" s="59" t="n"/>
      <c r="O218" s="59" t="n"/>
      <c r="X218" s="61" t="n"/>
      <c r="Y218" s="61" t="n"/>
    </row>
    <row r="219" ht="14.25" customHeight="1" s="86">
      <c r="E219" s="53" t="inlineStr">
        <is>
          <t>CA</t>
        </is>
      </c>
      <c r="F219" s="53" t="inlineStr">
        <is>
          <t>PLACER</t>
        </is>
      </c>
      <c r="G219" s="59" t="n"/>
      <c r="O219" s="59" t="n"/>
      <c r="X219" s="61" t="n"/>
      <c r="Y219" s="61" t="n"/>
    </row>
    <row r="220" ht="14.25" customHeight="1" s="86">
      <c r="E220" s="53" t="inlineStr">
        <is>
          <t>CA</t>
        </is>
      </c>
      <c r="F220" s="53" t="inlineStr">
        <is>
          <t>PLUMAS</t>
        </is>
      </c>
      <c r="G220" s="59" t="n"/>
      <c r="O220" s="59" t="n"/>
      <c r="X220" s="61" t="n"/>
      <c r="Y220" s="61" t="n"/>
    </row>
    <row r="221" ht="14.25" customHeight="1" s="86">
      <c r="E221" s="53" t="inlineStr">
        <is>
          <t>CA</t>
        </is>
      </c>
      <c r="F221" s="53" t="inlineStr">
        <is>
          <t>RIVERSIDE</t>
        </is>
      </c>
      <c r="G221" s="59" t="n"/>
      <c r="O221" s="59" t="n"/>
      <c r="X221" s="61" t="n"/>
      <c r="Y221" s="61" t="n"/>
    </row>
    <row r="222" ht="14.25" customHeight="1" s="86">
      <c r="E222" s="53" t="inlineStr">
        <is>
          <t>CA</t>
        </is>
      </c>
      <c r="F222" s="53" t="inlineStr">
        <is>
          <t>SACRAMENTO</t>
        </is>
      </c>
      <c r="G222" s="59" t="n"/>
      <c r="O222" s="59" t="n"/>
      <c r="X222" s="61" t="n"/>
      <c r="Y222" s="61" t="n"/>
    </row>
    <row r="223" ht="14.25" customHeight="1" s="86">
      <c r="E223" s="53" t="inlineStr">
        <is>
          <t>CA</t>
        </is>
      </c>
      <c r="F223" s="53" t="inlineStr">
        <is>
          <t>SAN BENITO</t>
        </is>
      </c>
      <c r="G223" s="59" t="n"/>
      <c r="O223" s="59" t="n"/>
      <c r="X223" s="61" t="n"/>
      <c r="Y223" s="61" t="n"/>
    </row>
    <row r="224" ht="14.25" customHeight="1" s="86">
      <c r="E224" s="53" t="inlineStr">
        <is>
          <t>CA</t>
        </is>
      </c>
      <c r="F224" s="53" t="inlineStr">
        <is>
          <t>SAN BERNARDINO</t>
        </is>
      </c>
      <c r="G224" s="59" t="n"/>
      <c r="O224" s="59" t="n"/>
      <c r="X224" s="61" t="n"/>
      <c r="Y224" s="61" t="n"/>
    </row>
    <row r="225" ht="14.25" customHeight="1" s="86">
      <c r="E225" s="53" t="inlineStr">
        <is>
          <t>CA</t>
        </is>
      </c>
      <c r="F225" s="53" t="inlineStr">
        <is>
          <t>SAN DIEGO</t>
        </is>
      </c>
      <c r="G225" s="59" t="n"/>
      <c r="O225" s="59" t="n"/>
      <c r="X225" s="61" t="n"/>
      <c r="Y225" s="61" t="n"/>
    </row>
    <row r="226" ht="14.25" customHeight="1" s="86">
      <c r="E226" s="53" t="inlineStr">
        <is>
          <t>CA</t>
        </is>
      </c>
      <c r="F226" s="53" t="inlineStr">
        <is>
          <t>SAN FRANCISCO</t>
        </is>
      </c>
      <c r="G226" s="59" t="n"/>
      <c r="O226" s="59" t="n"/>
      <c r="X226" s="61" t="n"/>
      <c r="Y226" s="61" t="n"/>
    </row>
    <row r="227" ht="14.25" customHeight="1" s="86">
      <c r="E227" s="53" t="inlineStr">
        <is>
          <t>CA</t>
        </is>
      </c>
      <c r="F227" s="53" t="inlineStr">
        <is>
          <t>SAN JOAQUIN</t>
        </is>
      </c>
      <c r="G227" s="59" t="n"/>
      <c r="O227" s="59" t="n"/>
      <c r="X227" s="61" t="n"/>
      <c r="Y227" s="61" t="n"/>
    </row>
    <row r="228" ht="14.25" customHeight="1" s="86">
      <c r="E228" s="53" t="inlineStr">
        <is>
          <t>CA</t>
        </is>
      </c>
      <c r="F228" s="53" t="inlineStr">
        <is>
          <t>SAN LUIS OBISPO</t>
        </is>
      </c>
      <c r="G228" s="59" t="n"/>
      <c r="O228" s="59" t="n"/>
      <c r="X228" s="61" t="n"/>
      <c r="Y228" s="61" t="n"/>
    </row>
    <row r="229" ht="14.25" customHeight="1" s="86">
      <c r="E229" s="53" t="inlineStr">
        <is>
          <t>CA</t>
        </is>
      </c>
      <c r="F229" s="53" t="inlineStr">
        <is>
          <t>SAN MATEO</t>
        </is>
      </c>
      <c r="G229" s="59" t="n"/>
      <c r="O229" s="59" t="n"/>
      <c r="X229" s="61" t="n"/>
      <c r="Y229" s="61" t="n"/>
    </row>
    <row r="230" ht="14.25" customHeight="1" s="86">
      <c r="E230" s="53" t="inlineStr">
        <is>
          <t>CA</t>
        </is>
      </c>
      <c r="F230" s="53" t="inlineStr">
        <is>
          <t>SANTA BARBARA</t>
        </is>
      </c>
      <c r="G230" s="59" t="n"/>
      <c r="O230" s="59" t="n"/>
      <c r="X230" s="61" t="n"/>
      <c r="Y230" s="61" t="n"/>
    </row>
    <row r="231" ht="14.25" customHeight="1" s="86">
      <c r="E231" s="53" t="inlineStr">
        <is>
          <t>CA</t>
        </is>
      </c>
      <c r="F231" s="53" t="inlineStr">
        <is>
          <t>SANTA CLARA</t>
        </is>
      </c>
      <c r="G231" s="59" t="n"/>
      <c r="O231" s="59" t="n"/>
      <c r="X231" s="61" t="n"/>
      <c r="Y231" s="61" t="n"/>
    </row>
    <row r="232" ht="14.25" customHeight="1" s="86">
      <c r="E232" s="53" t="inlineStr">
        <is>
          <t>CA</t>
        </is>
      </c>
      <c r="F232" s="53" t="inlineStr">
        <is>
          <t>SANTA CRUZ</t>
        </is>
      </c>
      <c r="G232" s="59" t="n"/>
      <c r="O232" s="59" t="n"/>
      <c r="X232" s="61" t="n"/>
      <c r="Y232" s="61" t="n"/>
    </row>
    <row r="233" ht="14.25" customHeight="1" s="86">
      <c r="E233" s="53" t="inlineStr">
        <is>
          <t>CA</t>
        </is>
      </c>
      <c r="F233" s="53" t="inlineStr">
        <is>
          <t>SHASTA</t>
        </is>
      </c>
      <c r="G233" s="59" t="n"/>
      <c r="O233" s="59" t="n"/>
      <c r="X233" s="61" t="n"/>
      <c r="Y233" s="61" t="n"/>
    </row>
    <row r="234" ht="14.25" customHeight="1" s="86">
      <c r="E234" s="53" t="inlineStr">
        <is>
          <t>CA</t>
        </is>
      </c>
      <c r="F234" s="53" t="inlineStr">
        <is>
          <t>SIERRA</t>
        </is>
      </c>
      <c r="G234" s="59" t="n"/>
      <c r="O234" s="59" t="n"/>
      <c r="X234" s="61" t="n"/>
      <c r="Y234" s="61" t="n"/>
    </row>
    <row r="235" ht="14.25" customHeight="1" s="86">
      <c r="E235" s="53" t="inlineStr">
        <is>
          <t>CA</t>
        </is>
      </c>
      <c r="F235" s="53" t="inlineStr">
        <is>
          <t>SISKIYOU</t>
        </is>
      </c>
      <c r="G235" s="59" t="n"/>
      <c r="O235" s="59" t="n"/>
      <c r="X235" s="61" t="n"/>
      <c r="Y235" s="61" t="n"/>
    </row>
    <row r="236" ht="14.25" customHeight="1" s="86">
      <c r="E236" s="53" t="inlineStr">
        <is>
          <t>CA</t>
        </is>
      </c>
      <c r="F236" s="53" t="inlineStr">
        <is>
          <t>SOLANO</t>
        </is>
      </c>
      <c r="G236" s="59" t="n"/>
      <c r="O236" s="59" t="n"/>
      <c r="X236" s="61" t="n"/>
      <c r="Y236" s="61" t="n"/>
    </row>
    <row r="237" ht="14.25" customHeight="1" s="86">
      <c r="E237" s="53" t="inlineStr">
        <is>
          <t>CA</t>
        </is>
      </c>
      <c r="F237" s="53" t="inlineStr">
        <is>
          <t>SONOMA</t>
        </is>
      </c>
      <c r="G237" s="59" t="n"/>
      <c r="O237" s="59" t="n"/>
      <c r="X237" s="61" t="n"/>
      <c r="Y237" s="61" t="n"/>
    </row>
    <row r="238" ht="14.25" customHeight="1" s="86">
      <c r="E238" s="53" t="inlineStr">
        <is>
          <t>CA</t>
        </is>
      </c>
      <c r="F238" s="53" t="inlineStr">
        <is>
          <t>STANISLAUS</t>
        </is>
      </c>
      <c r="G238" s="59" t="n"/>
      <c r="O238" s="59" t="n"/>
      <c r="X238" s="61" t="n"/>
      <c r="Y238" s="61" t="n"/>
    </row>
    <row r="239" ht="14.25" customHeight="1" s="86">
      <c r="E239" s="53" t="inlineStr">
        <is>
          <t>CA</t>
        </is>
      </c>
      <c r="F239" s="53" t="inlineStr">
        <is>
          <t>SUTTER</t>
        </is>
      </c>
      <c r="G239" s="59" t="n"/>
      <c r="O239" s="59" t="n"/>
      <c r="X239" s="61" t="n"/>
      <c r="Y239" s="61" t="n"/>
    </row>
    <row r="240" ht="14.25" customHeight="1" s="86">
      <c r="E240" s="53" t="inlineStr">
        <is>
          <t>CA</t>
        </is>
      </c>
      <c r="F240" s="53" t="inlineStr">
        <is>
          <t>TEHAMA</t>
        </is>
      </c>
      <c r="G240" s="59" t="n"/>
      <c r="O240" s="59" t="n"/>
      <c r="X240" s="61" t="n"/>
      <c r="Y240" s="61" t="n"/>
    </row>
    <row r="241" ht="14.25" customHeight="1" s="86">
      <c r="E241" s="53" t="inlineStr">
        <is>
          <t>CA</t>
        </is>
      </c>
      <c r="F241" s="53" t="inlineStr">
        <is>
          <t>TRINITY</t>
        </is>
      </c>
      <c r="G241" s="59" t="n"/>
      <c r="O241" s="59" t="n"/>
      <c r="X241" s="61" t="n"/>
      <c r="Y241" s="61" t="n"/>
    </row>
    <row r="242" ht="14.25" customHeight="1" s="86">
      <c r="E242" s="53" t="inlineStr">
        <is>
          <t>CA</t>
        </is>
      </c>
      <c r="F242" s="53" t="inlineStr">
        <is>
          <t>TULARE</t>
        </is>
      </c>
      <c r="G242" s="59" t="n"/>
      <c r="O242" s="59" t="n"/>
      <c r="X242" s="61" t="n"/>
      <c r="Y242" s="61" t="n"/>
    </row>
    <row r="243" ht="14.25" customHeight="1" s="86">
      <c r="E243" s="53" t="inlineStr">
        <is>
          <t>CA</t>
        </is>
      </c>
      <c r="F243" s="53" t="inlineStr">
        <is>
          <t>TUOLUMNE</t>
        </is>
      </c>
      <c r="G243" s="59" t="n"/>
      <c r="O243" s="59" t="n"/>
      <c r="X243" s="61" t="n"/>
      <c r="Y243" s="61" t="n"/>
    </row>
    <row r="244" ht="14.25" customHeight="1" s="86">
      <c r="E244" s="53" t="inlineStr">
        <is>
          <t>CA</t>
        </is>
      </c>
      <c r="F244" s="53" t="inlineStr">
        <is>
          <t>VENTURA</t>
        </is>
      </c>
      <c r="G244" s="59" t="n"/>
      <c r="O244" s="59" t="n"/>
      <c r="X244" s="61" t="n"/>
      <c r="Y244" s="61" t="n"/>
    </row>
    <row r="245" ht="14.25" customHeight="1" s="86">
      <c r="E245" s="53" t="inlineStr">
        <is>
          <t>CA</t>
        </is>
      </c>
      <c r="F245" s="53" t="inlineStr">
        <is>
          <t>YOLO</t>
        </is>
      </c>
      <c r="G245" s="59" t="n"/>
      <c r="O245" s="59" t="n"/>
      <c r="X245" s="61" t="n"/>
      <c r="Y245" s="61" t="n"/>
    </row>
    <row r="246" ht="14.25" customHeight="1" s="86">
      <c r="E246" s="53" t="inlineStr">
        <is>
          <t>CA</t>
        </is>
      </c>
      <c r="F246" s="53" t="inlineStr">
        <is>
          <t>YUBA</t>
        </is>
      </c>
      <c r="G246" s="59" t="n"/>
      <c r="O246" s="59" t="n"/>
      <c r="X246" s="61" t="n"/>
      <c r="Y246" s="61" t="n"/>
    </row>
    <row r="247" ht="14.25" customHeight="1" s="86">
      <c r="E247" s="53" t="inlineStr">
        <is>
          <t>CO</t>
        </is>
      </c>
      <c r="F247" s="53" t="inlineStr">
        <is>
          <t>ADAMS</t>
        </is>
      </c>
      <c r="G247" s="59" t="n"/>
      <c r="O247" s="59" t="n"/>
      <c r="X247" s="61" t="n"/>
      <c r="Y247" s="61" t="n"/>
    </row>
    <row r="248" ht="14.25" customHeight="1" s="86">
      <c r="E248" s="53" t="inlineStr">
        <is>
          <t>CO</t>
        </is>
      </c>
      <c r="F248" s="53" t="inlineStr">
        <is>
          <t>ALAMOSA</t>
        </is>
      </c>
      <c r="G248" s="59" t="n"/>
      <c r="O248" s="59" t="n"/>
      <c r="X248" s="61" t="n"/>
      <c r="Y248" s="61" t="n"/>
    </row>
    <row r="249" ht="14.25" customHeight="1" s="86">
      <c r="E249" s="53" t="inlineStr">
        <is>
          <t>CO</t>
        </is>
      </c>
      <c r="F249" s="53" t="inlineStr">
        <is>
          <t>ARAPAHOE</t>
        </is>
      </c>
      <c r="G249" s="59" t="n"/>
      <c r="O249" s="59" t="n"/>
      <c r="X249" s="61" t="n"/>
      <c r="Y249" s="61" t="n"/>
    </row>
    <row r="250" ht="14.25" customHeight="1" s="86">
      <c r="E250" s="53" t="inlineStr">
        <is>
          <t>CO</t>
        </is>
      </c>
      <c r="F250" s="53" t="inlineStr">
        <is>
          <t>ARCHULETA</t>
        </is>
      </c>
      <c r="G250" s="59" t="n"/>
      <c r="O250" s="59" t="n"/>
      <c r="X250" s="61" t="n"/>
      <c r="Y250" s="61" t="n"/>
    </row>
    <row r="251" ht="14.25" customHeight="1" s="86">
      <c r="E251" s="53" t="inlineStr">
        <is>
          <t>CO</t>
        </is>
      </c>
      <c r="F251" s="53" t="inlineStr">
        <is>
          <t>BACA</t>
        </is>
      </c>
      <c r="G251" s="59" t="n"/>
      <c r="O251" s="59" t="n"/>
      <c r="X251" s="61" t="n"/>
      <c r="Y251" s="61" t="n"/>
    </row>
    <row r="252" ht="14.25" customHeight="1" s="86">
      <c r="E252" s="53" t="inlineStr">
        <is>
          <t>CO</t>
        </is>
      </c>
      <c r="F252" s="53" t="inlineStr">
        <is>
          <t>BENT</t>
        </is>
      </c>
      <c r="G252" s="59" t="n"/>
      <c r="O252" s="59" t="n"/>
      <c r="X252" s="61" t="n"/>
      <c r="Y252" s="61" t="n"/>
    </row>
    <row r="253" ht="14.25" customHeight="1" s="86">
      <c r="E253" s="53" t="inlineStr">
        <is>
          <t>CO</t>
        </is>
      </c>
      <c r="F253" s="53" t="inlineStr">
        <is>
          <t>BOULDER</t>
        </is>
      </c>
      <c r="G253" s="59" t="n"/>
      <c r="O253" s="59" t="n"/>
      <c r="X253" s="61" t="n"/>
      <c r="Y253" s="61" t="n"/>
    </row>
    <row r="254" ht="14.25" customHeight="1" s="86">
      <c r="E254" s="53" t="inlineStr">
        <is>
          <t>CO</t>
        </is>
      </c>
      <c r="F254" s="53" t="inlineStr">
        <is>
          <t>BROOMFIELD</t>
        </is>
      </c>
      <c r="G254" s="59" t="n"/>
      <c r="O254" s="59" t="n"/>
      <c r="X254" s="61" t="n"/>
      <c r="Y254" s="61" t="n"/>
    </row>
    <row r="255" ht="14.25" customHeight="1" s="86">
      <c r="E255" s="53" t="inlineStr">
        <is>
          <t>CO</t>
        </is>
      </c>
      <c r="F255" s="53" t="inlineStr">
        <is>
          <t>CHAFFEE</t>
        </is>
      </c>
      <c r="G255" s="59" t="n"/>
      <c r="O255" s="59" t="n"/>
      <c r="X255" s="61" t="n"/>
      <c r="Y255" s="61" t="n"/>
    </row>
    <row r="256" ht="14.25" customHeight="1" s="86">
      <c r="E256" s="53" t="inlineStr">
        <is>
          <t>CO</t>
        </is>
      </c>
      <c r="F256" s="53" t="inlineStr">
        <is>
          <t>CHEYENNE</t>
        </is>
      </c>
      <c r="G256" s="59" t="n"/>
      <c r="N256" s="59" t="n"/>
      <c r="O256" s="59" t="n"/>
      <c r="X256" s="61" t="n"/>
      <c r="Y256" s="61" t="n"/>
    </row>
    <row r="257" ht="14.25" customHeight="1" s="86">
      <c r="E257" s="53" t="inlineStr">
        <is>
          <t>CO</t>
        </is>
      </c>
      <c r="F257" s="53" t="inlineStr">
        <is>
          <t>CLEAR CREEK</t>
        </is>
      </c>
      <c r="G257" s="59" t="n"/>
      <c r="N257" s="59" t="n"/>
      <c r="O257" s="59" t="n"/>
      <c r="X257" s="61" t="n"/>
      <c r="Y257" s="61" t="n"/>
    </row>
    <row r="258" ht="14.25" customHeight="1" s="86">
      <c r="E258" s="53" t="inlineStr">
        <is>
          <t>CO</t>
        </is>
      </c>
      <c r="F258" s="53" t="inlineStr">
        <is>
          <t>CONEJOS</t>
        </is>
      </c>
      <c r="G258" s="59" t="n"/>
      <c r="N258" s="59" t="n"/>
      <c r="O258" s="59" t="n"/>
      <c r="X258" s="61" t="n"/>
      <c r="Y258" s="61" t="n"/>
    </row>
    <row r="259" ht="14.25" customHeight="1" s="86">
      <c r="E259" s="53" t="inlineStr">
        <is>
          <t>CO</t>
        </is>
      </c>
      <c r="F259" s="53" t="inlineStr">
        <is>
          <t>COSTILLA</t>
        </is>
      </c>
      <c r="G259" s="59" t="n"/>
      <c r="N259" s="59" t="n"/>
      <c r="O259" s="59" t="n"/>
      <c r="X259" s="61" t="n"/>
      <c r="Y259" s="61" t="n"/>
    </row>
    <row r="260" ht="14.25" customHeight="1" s="86">
      <c r="E260" s="53" t="inlineStr">
        <is>
          <t>CO</t>
        </is>
      </c>
      <c r="F260" s="53" t="inlineStr">
        <is>
          <t>CROWLEY</t>
        </is>
      </c>
      <c r="G260" s="59" t="n"/>
      <c r="N260" s="59" t="n"/>
      <c r="O260" s="59" t="n"/>
      <c r="X260" s="61" t="n"/>
      <c r="Y260" s="61" t="n"/>
    </row>
    <row r="261" ht="14.25" customHeight="1" s="86">
      <c r="E261" s="53" t="inlineStr">
        <is>
          <t>CO</t>
        </is>
      </c>
      <c r="F261" s="53" t="inlineStr">
        <is>
          <t>CUSTER</t>
        </is>
      </c>
      <c r="G261" s="59" t="n"/>
      <c r="N261" s="59" t="n"/>
      <c r="O261" s="59" t="n"/>
      <c r="X261" s="61" t="n"/>
      <c r="Y261" s="61" t="n"/>
    </row>
    <row r="262" ht="14.25" customHeight="1" s="86">
      <c r="E262" s="53" t="inlineStr">
        <is>
          <t>CO</t>
        </is>
      </c>
      <c r="F262" s="53" t="inlineStr">
        <is>
          <t>DELTA</t>
        </is>
      </c>
      <c r="G262" s="59" t="n"/>
      <c r="N262" s="59" t="n"/>
      <c r="O262" s="59" t="n"/>
      <c r="X262" s="61" t="n"/>
      <c r="Y262" s="61" t="n"/>
    </row>
    <row r="263" ht="14.25" customHeight="1" s="86">
      <c r="E263" s="53" t="inlineStr">
        <is>
          <t>CO</t>
        </is>
      </c>
      <c r="F263" s="53" t="inlineStr">
        <is>
          <t>DENVER</t>
        </is>
      </c>
      <c r="G263" s="59" t="n"/>
      <c r="N263" s="59" t="n"/>
      <c r="O263" s="59" t="n"/>
      <c r="X263" s="61" t="n"/>
      <c r="Y263" s="61" t="n"/>
    </row>
    <row r="264" ht="14.25" customHeight="1" s="86">
      <c r="E264" s="53" t="inlineStr">
        <is>
          <t>CO</t>
        </is>
      </c>
      <c r="F264" s="53" t="inlineStr">
        <is>
          <t>DOLORES</t>
        </is>
      </c>
      <c r="G264" s="59" t="n"/>
      <c r="N264" s="59" t="n"/>
      <c r="O264" s="59" t="n"/>
      <c r="X264" s="61" t="n"/>
      <c r="Y264" s="61" t="n"/>
    </row>
    <row r="265" ht="14.25" customHeight="1" s="86">
      <c r="E265" s="53" t="inlineStr">
        <is>
          <t>CO</t>
        </is>
      </c>
      <c r="F265" s="53" t="inlineStr">
        <is>
          <t>DOUGLAS</t>
        </is>
      </c>
      <c r="G265" s="59" t="n"/>
      <c r="N265" s="59" t="n"/>
      <c r="O265" s="59" t="n"/>
      <c r="X265" s="61" t="n"/>
      <c r="Y265" s="61" t="n"/>
    </row>
    <row r="266" ht="14.25" customHeight="1" s="86">
      <c r="E266" s="53" t="inlineStr">
        <is>
          <t>CO</t>
        </is>
      </c>
      <c r="F266" s="53" t="inlineStr">
        <is>
          <t>EAGLE</t>
        </is>
      </c>
      <c r="G266" s="59" t="n"/>
      <c r="N266" s="59" t="n"/>
      <c r="O266" s="59" t="n"/>
      <c r="X266" s="61" t="n"/>
      <c r="Y266" s="61" t="n"/>
    </row>
    <row r="267" ht="14.25" customHeight="1" s="86">
      <c r="E267" s="53" t="inlineStr">
        <is>
          <t>CO</t>
        </is>
      </c>
      <c r="F267" s="53" t="inlineStr">
        <is>
          <t>EL PASO</t>
        </is>
      </c>
      <c r="G267" s="59" t="n"/>
      <c r="N267" s="59" t="n"/>
      <c r="O267" s="59" t="n"/>
      <c r="X267" s="61" t="n"/>
      <c r="Y267" s="61" t="n"/>
    </row>
    <row r="268" ht="14.25" customHeight="1" s="86">
      <c r="E268" s="53" t="inlineStr">
        <is>
          <t>CO</t>
        </is>
      </c>
      <c r="F268" s="53" t="inlineStr">
        <is>
          <t>ELBERT</t>
        </is>
      </c>
      <c r="G268" s="59" t="n"/>
      <c r="N268" s="59" t="n"/>
      <c r="O268" s="59" t="n"/>
      <c r="X268" s="61" t="n"/>
      <c r="Y268" s="61" t="n"/>
    </row>
    <row r="269" ht="14.25" customHeight="1" s="86">
      <c r="E269" s="53" t="inlineStr">
        <is>
          <t>CO</t>
        </is>
      </c>
      <c r="F269" s="53" t="inlineStr">
        <is>
          <t>FREMONT</t>
        </is>
      </c>
      <c r="G269" s="59" t="n"/>
      <c r="N269" s="59" t="n"/>
      <c r="O269" s="59" t="n"/>
      <c r="X269" s="61" t="n"/>
      <c r="Y269" s="61" t="n"/>
    </row>
    <row r="270" ht="14.25" customHeight="1" s="86">
      <c r="E270" s="53" t="inlineStr">
        <is>
          <t>CO</t>
        </is>
      </c>
      <c r="F270" s="53" t="inlineStr">
        <is>
          <t>GARFIELD</t>
        </is>
      </c>
      <c r="G270" s="59" t="n"/>
      <c r="N270" s="59" t="n"/>
      <c r="O270" s="59" t="n"/>
      <c r="X270" s="61" t="n"/>
      <c r="Y270" s="61" t="n"/>
    </row>
    <row r="271" ht="14.25" customHeight="1" s="86">
      <c r="E271" s="53" t="inlineStr">
        <is>
          <t>CO</t>
        </is>
      </c>
      <c r="F271" s="53" t="inlineStr">
        <is>
          <t>GILPIN</t>
        </is>
      </c>
      <c r="G271" s="59" t="n"/>
      <c r="N271" s="59" t="n"/>
      <c r="O271" s="59" t="n"/>
      <c r="X271" s="61" t="n"/>
      <c r="Y271" s="61" t="n"/>
    </row>
    <row r="272" ht="14.25" customHeight="1" s="86">
      <c r="E272" s="53" t="inlineStr">
        <is>
          <t>CO</t>
        </is>
      </c>
      <c r="F272" s="53" t="inlineStr">
        <is>
          <t>GRAND</t>
        </is>
      </c>
      <c r="G272" s="59" t="n"/>
      <c r="N272" s="59" t="n"/>
      <c r="O272" s="59" t="n"/>
      <c r="X272" s="61" t="n"/>
      <c r="Y272" s="61" t="n"/>
    </row>
    <row r="273" ht="14.25" customHeight="1" s="86">
      <c r="E273" s="53" t="inlineStr">
        <is>
          <t>CO</t>
        </is>
      </c>
      <c r="F273" s="53" t="inlineStr">
        <is>
          <t>GUNNISON</t>
        </is>
      </c>
      <c r="G273" s="59" t="n"/>
      <c r="N273" s="59" t="n"/>
      <c r="O273" s="59" t="n"/>
      <c r="X273" s="61" t="n"/>
      <c r="Y273" s="61" t="n"/>
    </row>
    <row r="274" ht="14.25" customHeight="1" s="86">
      <c r="E274" s="53" t="inlineStr">
        <is>
          <t>CO</t>
        </is>
      </c>
      <c r="F274" s="53" t="inlineStr">
        <is>
          <t>HINSDALE</t>
        </is>
      </c>
      <c r="G274" s="59" t="n"/>
      <c r="N274" s="59" t="n"/>
      <c r="O274" s="59" t="n"/>
      <c r="X274" s="61" t="n"/>
      <c r="Y274" s="61" t="n"/>
    </row>
    <row r="275" ht="14.25" customHeight="1" s="86">
      <c r="E275" s="53" t="inlineStr">
        <is>
          <t>CO</t>
        </is>
      </c>
      <c r="F275" s="53" t="inlineStr">
        <is>
          <t>HUERFANO</t>
        </is>
      </c>
      <c r="G275" s="59" t="n"/>
      <c r="N275" s="59" t="n"/>
      <c r="O275" s="59" t="n"/>
      <c r="X275" s="61" t="n"/>
      <c r="Y275" s="61" t="n"/>
    </row>
    <row r="276" ht="14.25" customHeight="1" s="86">
      <c r="E276" s="53" t="inlineStr">
        <is>
          <t>CO</t>
        </is>
      </c>
      <c r="F276" s="53" t="inlineStr">
        <is>
          <t>JACKSON</t>
        </is>
      </c>
      <c r="G276" s="59" t="n"/>
      <c r="N276" s="59" t="n"/>
      <c r="O276" s="59" t="n"/>
      <c r="X276" s="61" t="n"/>
      <c r="Y276" s="61" t="n"/>
    </row>
    <row r="277" ht="14.25" customHeight="1" s="86">
      <c r="E277" s="53" t="inlineStr">
        <is>
          <t>CO</t>
        </is>
      </c>
      <c r="F277" s="53" t="inlineStr">
        <is>
          <t>JEFFERSON</t>
        </is>
      </c>
      <c r="G277" s="59" t="n"/>
      <c r="N277" s="59" t="n"/>
      <c r="O277" s="59" t="n"/>
      <c r="X277" s="61" t="n"/>
      <c r="Y277" s="61" t="n"/>
    </row>
    <row r="278" ht="14.25" customHeight="1" s="86">
      <c r="E278" s="53" t="inlineStr">
        <is>
          <t>CO</t>
        </is>
      </c>
      <c r="F278" s="53" t="inlineStr">
        <is>
          <t>KIOWA</t>
        </is>
      </c>
      <c r="G278" s="59" t="n"/>
      <c r="N278" s="59" t="n"/>
      <c r="O278" s="59" t="n"/>
      <c r="X278" s="61" t="n"/>
      <c r="Y278" s="61" t="n"/>
    </row>
    <row r="279" ht="14.25" customHeight="1" s="86">
      <c r="E279" s="53" t="inlineStr">
        <is>
          <t>CO</t>
        </is>
      </c>
      <c r="F279" s="53" t="inlineStr">
        <is>
          <t>KIT CARSON</t>
        </is>
      </c>
      <c r="G279" s="59" t="n"/>
      <c r="N279" s="59" t="n"/>
      <c r="O279" s="59" t="n"/>
      <c r="X279" s="61" t="n"/>
      <c r="Y279" s="61" t="n"/>
    </row>
    <row r="280" ht="14.25" customHeight="1" s="86">
      <c r="E280" s="53" t="inlineStr">
        <is>
          <t>CO</t>
        </is>
      </c>
      <c r="F280" s="53" t="inlineStr">
        <is>
          <t>LA PLATA</t>
        </is>
      </c>
      <c r="G280" s="59" t="n"/>
      <c r="N280" s="59" t="n"/>
      <c r="O280" s="59" t="n"/>
      <c r="X280" s="61" t="n"/>
      <c r="Y280" s="61" t="n"/>
    </row>
    <row r="281" ht="14.25" customHeight="1" s="86">
      <c r="E281" s="53" t="inlineStr">
        <is>
          <t>CO</t>
        </is>
      </c>
      <c r="F281" s="53" t="inlineStr">
        <is>
          <t>LAKE</t>
        </is>
      </c>
      <c r="G281" s="59" t="n"/>
      <c r="N281" s="59" t="n"/>
      <c r="O281" s="59" t="n"/>
      <c r="X281" s="61" t="n"/>
      <c r="Y281" s="61" t="n"/>
    </row>
    <row r="282" ht="14.25" customHeight="1" s="86">
      <c r="E282" s="53" t="inlineStr">
        <is>
          <t>CO</t>
        </is>
      </c>
      <c r="F282" s="53" t="inlineStr">
        <is>
          <t>LARIMER</t>
        </is>
      </c>
      <c r="G282" s="59" t="n"/>
      <c r="N282" s="59" t="n"/>
      <c r="O282" s="59" t="n"/>
      <c r="X282" s="61" t="n"/>
      <c r="Y282" s="61" t="n"/>
    </row>
    <row r="283" ht="14.25" customHeight="1" s="86">
      <c r="E283" s="53" t="inlineStr">
        <is>
          <t>CO</t>
        </is>
      </c>
      <c r="F283" s="53" t="inlineStr">
        <is>
          <t>LAS ANIMAS</t>
        </is>
      </c>
      <c r="G283" s="59" t="n"/>
      <c r="N283" s="59" t="n"/>
      <c r="O283" s="59" t="n"/>
      <c r="X283" s="61" t="n"/>
      <c r="Y283" s="61" t="n"/>
    </row>
    <row r="284" ht="14.25" customHeight="1" s="86">
      <c r="E284" s="53" t="inlineStr">
        <is>
          <t>CO</t>
        </is>
      </c>
      <c r="F284" s="53" t="inlineStr">
        <is>
          <t>LINCOLN</t>
        </is>
      </c>
      <c r="G284" s="59" t="n"/>
      <c r="N284" s="59" t="n"/>
      <c r="O284" s="59" t="n"/>
      <c r="X284" s="61" t="n"/>
      <c r="Y284" s="61" t="n"/>
    </row>
    <row r="285" ht="14.25" customHeight="1" s="86">
      <c r="E285" s="53" t="inlineStr">
        <is>
          <t>CO</t>
        </is>
      </c>
      <c r="F285" s="53" t="inlineStr">
        <is>
          <t>LOGAN</t>
        </is>
      </c>
      <c r="G285" s="59" t="n"/>
      <c r="N285" s="59" t="n"/>
      <c r="O285" s="59" t="n"/>
      <c r="X285" s="61" t="n"/>
      <c r="Y285" s="61" t="n"/>
    </row>
    <row r="286" ht="14.25" customHeight="1" s="86">
      <c r="E286" s="53" t="inlineStr">
        <is>
          <t>CO</t>
        </is>
      </c>
      <c r="F286" s="53" t="inlineStr">
        <is>
          <t>MESA</t>
        </is>
      </c>
      <c r="G286" s="59" t="n"/>
      <c r="N286" s="59" t="n"/>
      <c r="O286" s="59" t="n"/>
      <c r="X286" s="61" t="n"/>
      <c r="Y286" s="61" t="n"/>
    </row>
    <row r="287" ht="14.25" customHeight="1" s="86">
      <c r="E287" s="53" t="inlineStr">
        <is>
          <t>CO</t>
        </is>
      </c>
      <c r="F287" s="53" t="inlineStr">
        <is>
          <t>MINERAL</t>
        </is>
      </c>
      <c r="G287" s="59" t="n"/>
      <c r="N287" s="59" t="n"/>
      <c r="O287" s="59" t="n"/>
      <c r="X287" s="61" t="n"/>
      <c r="Y287" s="61" t="n"/>
    </row>
    <row r="288" ht="14.25" customHeight="1" s="86">
      <c r="E288" s="53" t="inlineStr">
        <is>
          <t>CO</t>
        </is>
      </c>
      <c r="F288" s="53" t="inlineStr">
        <is>
          <t>MOFFAT</t>
        </is>
      </c>
      <c r="G288" s="59" t="n"/>
      <c r="N288" s="59" t="n"/>
      <c r="O288" s="59" t="n"/>
      <c r="X288" s="61" t="n"/>
      <c r="Y288" s="61" t="n"/>
    </row>
    <row r="289" ht="14.25" customHeight="1" s="86">
      <c r="E289" s="53" t="inlineStr">
        <is>
          <t>CO</t>
        </is>
      </c>
      <c r="F289" s="53" t="inlineStr">
        <is>
          <t>MONTEZUMA</t>
        </is>
      </c>
      <c r="G289" s="59" t="n"/>
      <c r="N289" s="59" t="n"/>
      <c r="O289" s="59" t="n"/>
      <c r="X289" s="61" t="n"/>
      <c r="Y289" s="61" t="n"/>
    </row>
    <row r="290" ht="14.25" customHeight="1" s="86">
      <c r="E290" s="53" t="inlineStr">
        <is>
          <t>CO</t>
        </is>
      </c>
      <c r="F290" s="53" t="inlineStr">
        <is>
          <t>MONTROSE</t>
        </is>
      </c>
      <c r="G290" s="59" t="n"/>
      <c r="N290" s="59" t="n"/>
      <c r="O290" s="59" t="n"/>
      <c r="X290" s="61" t="n"/>
      <c r="Y290" s="61" t="n"/>
    </row>
    <row r="291" ht="14.25" customHeight="1" s="86">
      <c r="E291" s="53" t="inlineStr">
        <is>
          <t>CO</t>
        </is>
      </c>
      <c r="F291" s="53" t="inlineStr">
        <is>
          <t>MORGAN</t>
        </is>
      </c>
      <c r="G291" s="59" t="n"/>
      <c r="N291" s="59" t="n"/>
      <c r="O291" s="59" t="n"/>
      <c r="X291" s="61" t="n"/>
      <c r="Y291" s="61" t="n"/>
    </row>
    <row r="292" ht="14.25" customHeight="1" s="86">
      <c r="E292" s="53" t="inlineStr">
        <is>
          <t>CO</t>
        </is>
      </c>
      <c r="F292" s="53" t="inlineStr">
        <is>
          <t>OTERO</t>
        </is>
      </c>
      <c r="G292" s="59" t="n"/>
      <c r="N292" s="59" t="n"/>
      <c r="O292" s="59" t="n"/>
      <c r="X292" s="61" t="n"/>
      <c r="Y292" s="61" t="n"/>
    </row>
    <row r="293" ht="14.25" customHeight="1" s="86">
      <c r="E293" s="53" t="inlineStr">
        <is>
          <t>CO</t>
        </is>
      </c>
      <c r="F293" s="53" t="inlineStr">
        <is>
          <t>OURAY</t>
        </is>
      </c>
      <c r="G293" s="59" t="n"/>
      <c r="N293" s="59" t="n"/>
      <c r="O293" s="59" t="n"/>
      <c r="X293" s="61" t="n"/>
      <c r="Y293" s="61" t="n"/>
    </row>
    <row r="294" ht="14.25" customHeight="1" s="86">
      <c r="E294" s="53" t="inlineStr">
        <is>
          <t>CO</t>
        </is>
      </c>
      <c r="F294" s="53" t="inlineStr">
        <is>
          <t>PARK</t>
        </is>
      </c>
      <c r="G294" s="59" t="n"/>
      <c r="N294" s="59" t="n"/>
      <c r="O294" s="59" t="n"/>
      <c r="X294" s="61" t="n"/>
      <c r="Y294" s="61" t="n"/>
    </row>
    <row r="295" ht="14.25" customHeight="1" s="86">
      <c r="E295" s="53" t="inlineStr">
        <is>
          <t>CO</t>
        </is>
      </c>
      <c r="F295" s="53" t="inlineStr">
        <is>
          <t>PHILLIPS</t>
        </is>
      </c>
      <c r="G295" s="59" t="n"/>
      <c r="N295" s="59" t="n"/>
      <c r="O295" s="59" t="n"/>
      <c r="X295" s="61" t="n"/>
      <c r="Y295" s="61" t="n"/>
    </row>
    <row r="296" ht="14.25" customHeight="1" s="86">
      <c r="E296" s="53" t="inlineStr">
        <is>
          <t>CO</t>
        </is>
      </c>
      <c r="F296" s="53" t="inlineStr">
        <is>
          <t>PITKIN</t>
        </is>
      </c>
      <c r="G296" s="59" t="n"/>
      <c r="N296" s="59" t="n"/>
      <c r="O296" s="59" t="n"/>
      <c r="X296" s="61" t="n"/>
      <c r="Y296" s="61" t="n"/>
    </row>
    <row r="297" ht="14.25" customHeight="1" s="86">
      <c r="E297" s="53" t="inlineStr">
        <is>
          <t>CO</t>
        </is>
      </c>
      <c r="F297" s="53" t="inlineStr">
        <is>
          <t>PROWERS</t>
        </is>
      </c>
      <c r="G297" s="59" t="n"/>
      <c r="N297" s="59" t="n"/>
      <c r="O297" s="59" t="n"/>
      <c r="X297" s="61" t="n"/>
      <c r="Y297" s="61" t="n"/>
    </row>
    <row r="298" ht="14.25" customHeight="1" s="86">
      <c r="E298" s="53" t="inlineStr">
        <is>
          <t>CO</t>
        </is>
      </c>
      <c r="F298" s="53" t="inlineStr">
        <is>
          <t>PUEBLO</t>
        </is>
      </c>
      <c r="G298" s="59" t="n"/>
      <c r="N298" s="59" t="n"/>
      <c r="O298" s="59" t="n"/>
      <c r="X298" s="61" t="n"/>
      <c r="Y298" s="61" t="n"/>
    </row>
    <row r="299" ht="14.25" customHeight="1" s="86">
      <c r="E299" s="53" t="inlineStr">
        <is>
          <t>CO</t>
        </is>
      </c>
      <c r="F299" s="53" t="inlineStr">
        <is>
          <t>RIO BLANCO</t>
        </is>
      </c>
      <c r="G299" s="59" t="n"/>
      <c r="N299" s="59" t="n"/>
      <c r="O299" s="59" t="n"/>
      <c r="X299" s="61" t="n"/>
      <c r="Y299" s="61" t="n"/>
    </row>
    <row r="300" ht="14.25" customHeight="1" s="86">
      <c r="E300" s="53" t="inlineStr">
        <is>
          <t>CO</t>
        </is>
      </c>
      <c r="F300" s="53" t="inlineStr">
        <is>
          <t>RIO GRANDE</t>
        </is>
      </c>
      <c r="G300" s="59" t="n"/>
      <c r="N300" s="59" t="n"/>
      <c r="O300" s="59" t="n"/>
      <c r="X300" s="61" t="n"/>
      <c r="Y300" s="61" t="n"/>
    </row>
    <row r="301" ht="14.25" customHeight="1" s="86">
      <c r="E301" s="53" t="inlineStr">
        <is>
          <t>CO</t>
        </is>
      </c>
      <c r="F301" s="53" t="inlineStr">
        <is>
          <t>ROUTT</t>
        </is>
      </c>
      <c r="G301" s="59" t="n"/>
      <c r="N301" s="59" t="n"/>
      <c r="O301" s="59" t="n"/>
      <c r="X301" s="61" t="n"/>
      <c r="Y301" s="61" t="n"/>
    </row>
    <row r="302" ht="14.25" customHeight="1" s="86">
      <c r="E302" s="53" t="inlineStr">
        <is>
          <t>CO</t>
        </is>
      </c>
      <c r="F302" s="53" t="inlineStr">
        <is>
          <t>SAGUACHE</t>
        </is>
      </c>
      <c r="G302" s="59" t="n"/>
      <c r="N302" s="59" t="n"/>
      <c r="O302" s="59" t="n"/>
      <c r="X302" s="61" t="n"/>
      <c r="Y302" s="61" t="n"/>
    </row>
    <row r="303" ht="14.25" customHeight="1" s="86">
      <c r="E303" s="53" t="inlineStr">
        <is>
          <t>CO</t>
        </is>
      </c>
      <c r="F303" s="53" t="inlineStr">
        <is>
          <t>SAN JUAN</t>
        </is>
      </c>
      <c r="G303" s="59" t="n"/>
      <c r="N303" s="59" t="n"/>
      <c r="O303" s="59" t="n"/>
      <c r="X303" s="61" t="n"/>
      <c r="Y303" s="61" t="n"/>
    </row>
    <row r="304" ht="14.25" customHeight="1" s="86">
      <c r="E304" s="53" t="inlineStr">
        <is>
          <t>CO</t>
        </is>
      </c>
      <c r="F304" s="53" t="inlineStr">
        <is>
          <t>SAN MIGUEL</t>
        </is>
      </c>
      <c r="G304" s="59" t="n"/>
      <c r="N304" s="59" t="n"/>
      <c r="O304" s="59" t="n"/>
      <c r="X304" s="61" t="n"/>
      <c r="Y304" s="61" t="n"/>
    </row>
    <row r="305" ht="14.25" customHeight="1" s="86">
      <c r="E305" s="53" t="inlineStr">
        <is>
          <t>CO</t>
        </is>
      </c>
      <c r="F305" s="53" t="inlineStr">
        <is>
          <t>SEDGWICK</t>
        </is>
      </c>
      <c r="G305" s="59" t="n"/>
      <c r="N305" s="59" t="n"/>
      <c r="O305" s="59" t="n"/>
      <c r="X305" s="61" t="n"/>
      <c r="Y305" s="61" t="n"/>
    </row>
    <row r="306" ht="14.25" customHeight="1" s="86">
      <c r="E306" s="53" t="inlineStr">
        <is>
          <t>CO</t>
        </is>
      </c>
      <c r="F306" s="53" t="inlineStr">
        <is>
          <t>SUMMIT</t>
        </is>
      </c>
      <c r="G306" s="59" t="n"/>
      <c r="N306" s="59" t="n"/>
      <c r="O306" s="59" t="n"/>
      <c r="X306" s="61" t="n"/>
      <c r="Y306" s="61" t="n"/>
    </row>
    <row r="307" ht="14.25" customHeight="1" s="86">
      <c r="E307" s="53" t="inlineStr">
        <is>
          <t>CO</t>
        </is>
      </c>
      <c r="F307" s="53" t="inlineStr">
        <is>
          <t>TELLER</t>
        </is>
      </c>
      <c r="G307" s="59" t="n"/>
      <c r="N307" s="59" t="n"/>
      <c r="O307" s="59" t="n"/>
      <c r="X307" s="61" t="n"/>
      <c r="Y307" s="61" t="n"/>
    </row>
    <row r="308" ht="14.25" customHeight="1" s="86">
      <c r="E308" s="53" t="inlineStr">
        <is>
          <t>CO</t>
        </is>
      </c>
      <c r="F308" s="53" t="inlineStr">
        <is>
          <t>WASHINGTON</t>
        </is>
      </c>
      <c r="G308" s="59" t="n"/>
      <c r="N308" s="59" t="n"/>
      <c r="O308" s="59" t="n"/>
      <c r="X308" s="61" t="n"/>
      <c r="Y308" s="61" t="n"/>
    </row>
    <row r="309" ht="14.25" customHeight="1" s="86">
      <c r="E309" s="53" t="inlineStr">
        <is>
          <t>CO</t>
        </is>
      </c>
      <c r="F309" s="53" t="inlineStr">
        <is>
          <t>WELD</t>
        </is>
      </c>
      <c r="G309" s="59" t="n"/>
      <c r="N309" s="59" t="n"/>
      <c r="O309" s="59" t="n"/>
      <c r="X309" s="61" t="n"/>
      <c r="Y309" s="61" t="n"/>
    </row>
    <row r="310" ht="14.25" customHeight="1" s="86">
      <c r="E310" s="53" t="inlineStr">
        <is>
          <t>CO</t>
        </is>
      </c>
      <c r="F310" s="53" t="inlineStr">
        <is>
          <t>YUMA</t>
        </is>
      </c>
      <c r="G310" s="59" t="n"/>
      <c r="N310" s="59" t="n"/>
      <c r="O310" s="59" t="n"/>
      <c r="X310" s="61" t="n"/>
      <c r="Y310" s="61" t="n"/>
    </row>
    <row r="311" ht="14.25" customHeight="1" s="86">
      <c r="E311" s="53" t="inlineStr">
        <is>
          <t>CT</t>
        </is>
      </c>
      <c r="F311" s="53" t="inlineStr">
        <is>
          <t>FAIRFIELD</t>
        </is>
      </c>
      <c r="G311" s="59" t="n"/>
      <c r="N311" s="59" t="n"/>
      <c r="O311" s="59" t="n"/>
      <c r="X311" s="61" t="n"/>
      <c r="Y311" s="61" t="n"/>
    </row>
    <row r="312" ht="14.25" customHeight="1" s="86">
      <c r="E312" s="53" t="inlineStr">
        <is>
          <t>CT</t>
        </is>
      </c>
      <c r="F312" s="53" t="inlineStr">
        <is>
          <t>HARTFORD</t>
        </is>
      </c>
      <c r="G312" s="59" t="n"/>
      <c r="N312" s="59" t="n"/>
      <c r="O312" s="59" t="n"/>
      <c r="X312" s="61" t="n"/>
      <c r="Y312" s="61" t="n"/>
    </row>
    <row r="313" ht="14.25" customHeight="1" s="86">
      <c r="E313" s="53" t="inlineStr">
        <is>
          <t>CT</t>
        </is>
      </c>
      <c r="F313" s="53" t="inlineStr">
        <is>
          <t>LITCHFIELD</t>
        </is>
      </c>
      <c r="G313" s="59" t="n"/>
      <c r="N313" s="59" t="n"/>
      <c r="O313" s="59" t="n"/>
      <c r="X313" s="61" t="n"/>
      <c r="Y313" s="61" t="n"/>
    </row>
    <row r="314" ht="14.25" customHeight="1" s="86">
      <c r="E314" s="53" t="inlineStr">
        <is>
          <t>CT</t>
        </is>
      </c>
      <c r="F314" s="53" t="inlineStr">
        <is>
          <t>MIDDLESEX</t>
        </is>
      </c>
      <c r="G314" s="59" t="n"/>
      <c r="N314" s="59" t="n"/>
      <c r="O314" s="59" t="n"/>
      <c r="X314" s="61" t="n"/>
      <c r="Y314" s="61" t="n"/>
    </row>
    <row r="315" ht="14.25" customHeight="1" s="86">
      <c r="E315" s="53" t="inlineStr">
        <is>
          <t>CT</t>
        </is>
      </c>
      <c r="F315" s="53" t="inlineStr">
        <is>
          <t>NEW HAVEN</t>
        </is>
      </c>
      <c r="G315" s="59" t="n"/>
      <c r="N315" s="59" t="n"/>
      <c r="O315" s="59" t="n"/>
      <c r="X315" s="61" t="n"/>
      <c r="Y315" s="61" t="n"/>
    </row>
    <row r="316" ht="14.25" customHeight="1" s="86">
      <c r="E316" s="53" t="inlineStr">
        <is>
          <t>CT</t>
        </is>
      </c>
      <c r="F316" s="53" t="inlineStr">
        <is>
          <t>NEW LONDON</t>
        </is>
      </c>
      <c r="G316" s="59" t="n"/>
      <c r="N316" s="59" t="n"/>
      <c r="O316" s="59" t="n"/>
      <c r="X316" s="61" t="n"/>
      <c r="Y316" s="61" t="n"/>
    </row>
    <row r="317" ht="14.25" customHeight="1" s="86">
      <c r="E317" s="53" t="inlineStr">
        <is>
          <t>CT</t>
        </is>
      </c>
      <c r="F317" s="53" t="inlineStr">
        <is>
          <t>TOLLAND</t>
        </is>
      </c>
      <c r="G317" s="59" t="n"/>
      <c r="N317" s="59" t="n"/>
      <c r="O317" s="59" t="n"/>
      <c r="X317" s="61" t="n"/>
      <c r="Y317" s="61" t="n"/>
    </row>
    <row r="318" ht="14.25" customHeight="1" s="86">
      <c r="E318" s="53" t="inlineStr">
        <is>
          <t>CT</t>
        </is>
      </c>
      <c r="F318" s="53" t="inlineStr">
        <is>
          <t>WINDHAM</t>
        </is>
      </c>
      <c r="G318" s="59" t="n"/>
      <c r="N318" s="59" t="n"/>
      <c r="O318" s="59" t="n"/>
      <c r="X318" s="61" t="n"/>
      <c r="Y318" s="61" t="n"/>
    </row>
    <row r="319" ht="14.25" customHeight="1" s="86">
      <c r="E319" s="53" t="inlineStr">
        <is>
          <t>DC</t>
        </is>
      </c>
      <c r="F319" s="53" t="inlineStr">
        <is>
          <t>DISTRICT OF COLUMBIA</t>
        </is>
      </c>
      <c r="G319" s="59" t="n"/>
      <c r="N319" s="59" t="n"/>
      <c r="O319" s="59" t="n"/>
      <c r="X319" s="61" t="n"/>
      <c r="Y319" s="61" t="n"/>
    </row>
    <row r="320" ht="14.25" customHeight="1" s="86">
      <c r="E320" s="53" t="inlineStr">
        <is>
          <t>DE</t>
        </is>
      </c>
      <c r="F320" s="53" t="inlineStr">
        <is>
          <t>KENT</t>
        </is>
      </c>
      <c r="G320" s="59" t="n"/>
      <c r="N320" s="59" t="n"/>
      <c r="O320" s="59" t="n"/>
      <c r="X320" s="61" t="n"/>
      <c r="Y320" s="61" t="n"/>
    </row>
    <row r="321" ht="14.25" customHeight="1" s="86">
      <c r="E321" s="53" t="inlineStr">
        <is>
          <t>DE</t>
        </is>
      </c>
      <c r="F321" s="53" t="inlineStr">
        <is>
          <t>NEW CASTLE</t>
        </is>
      </c>
      <c r="G321" s="59" t="n"/>
      <c r="N321" s="59" t="n"/>
      <c r="O321" s="59" t="n"/>
      <c r="X321" s="61" t="n"/>
      <c r="Y321" s="61" t="n"/>
    </row>
    <row r="322" ht="14.25" customHeight="1" s="86">
      <c r="E322" s="53" t="inlineStr">
        <is>
          <t>DE</t>
        </is>
      </c>
      <c r="F322" s="53" t="inlineStr">
        <is>
          <t>SUSSEX</t>
        </is>
      </c>
      <c r="G322" s="59" t="n"/>
      <c r="N322" s="59" t="n"/>
      <c r="O322" s="59" t="n"/>
      <c r="X322" s="61" t="n"/>
      <c r="Y322" s="61" t="n"/>
    </row>
    <row r="323" ht="14.25" customHeight="1" s="86">
      <c r="E323" s="53" t="inlineStr">
        <is>
          <t>FL</t>
        </is>
      </c>
      <c r="F323" s="53" t="inlineStr">
        <is>
          <t>ALACHUA</t>
        </is>
      </c>
      <c r="G323" s="59" t="n"/>
      <c r="N323" s="59" t="n"/>
      <c r="O323" s="59" t="n"/>
      <c r="X323" s="61" t="n"/>
      <c r="Y323" s="61" t="n"/>
    </row>
    <row r="324" ht="14.25" customHeight="1" s="86">
      <c r="E324" s="53" t="inlineStr">
        <is>
          <t>FL</t>
        </is>
      </c>
      <c r="F324" s="53" t="inlineStr">
        <is>
          <t>BAKER</t>
        </is>
      </c>
      <c r="G324" s="59" t="n"/>
      <c r="N324" s="59" t="n"/>
      <c r="O324" s="59" t="n"/>
      <c r="X324" s="61" t="n"/>
      <c r="Y324" s="61" t="n"/>
    </row>
    <row r="325" ht="14.25" customHeight="1" s="86">
      <c r="E325" s="53" t="inlineStr">
        <is>
          <t>FL</t>
        </is>
      </c>
      <c r="F325" s="53" t="inlineStr">
        <is>
          <t>BAY</t>
        </is>
      </c>
      <c r="G325" s="59" t="n"/>
      <c r="N325" s="59" t="n"/>
      <c r="O325" s="59" t="n"/>
      <c r="X325" s="61" t="n"/>
      <c r="Y325" s="61" t="n"/>
    </row>
    <row r="326" ht="14.25" customHeight="1" s="86">
      <c r="E326" s="53" t="inlineStr">
        <is>
          <t>FL</t>
        </is>
      </c>
      <c r="F326" s="53" t="inlineStr">
        <is>
          <t>BRADFORD</t>
        </is>
      </c>
      <c r="G326" s="59" t="n"/>
      <c r="N326" s="59" t="n"/>
      <c r="O326" s="59" t="n"/>
      <c r="X326" s="61" t="n"/>
      <c r="Y326" s="61" t="n"/>
    </row>
    <row r="327" ht="14.25" customHeight="1" s="86">
      <c r="E327" s="53" t="inlineStr">
        <is>
          <t>FL</t>
        </is>
      </c>
      <c r="F327" s="53" t="inlineStr">
        <is>
          <t>BREVARD</t>
        </is>
      </c>
      <c r="G327" s="59" t="n"/>
      <c r="N327" s="59" t="n"/>
      <c r="O327" s="59" t="n"/>
      <c r="X327" s="61" t="n"/>
      <c r="Y327" s="61" t="n"/>
    </row>
    <row r="328" ht="14.25" customHeight="1" s="86">
      <c r="E328" s="53" t="inlineStr">
        <is>
          <t>FL</t>
        </is>
      </c>
      <c r="F328" s="53" t="inlineStr">
        <is>
          <t>BROWARD</t>
        </is>
      </c>
      <c r="G328" s="59" t="n"/>
      <c r="N328" s="59" t="n"/>
      <c r="O328" s="59" t="n"/>
      <c r="X328" s="61" t="n"/>
      <c r="Y328" s="61" t="n"/>
    </row>
    <row r="329" ht="14.25" customHeight="1" s="86">
      <c r="E329" s="53" t="inlineStr">
        <is>
          <t>FL</t>
        </is>
      </c>
      <c r="F329" s="53" t="inlineStr">
        <is>
          <t>CALHOUN</t>
        </is>
      </c>
      <c r="G329" s="59" t="n"/>
      <c r="N329" s="59" t="n"/>
      <c r="O329" s="59" t="n"/>
      <c r="X329" s="61" t="n"/>
      <c r="Y329" s="61" t="n"/>
    </row>
    <row r="330" ht="14.25" customHeight="1" s="86">
      <c r="E330" s="53" t="inlineStr">
        <is>
          <t>FL</t>
        </is>
      </c>
      <c r="F330" s="53" t="inlineStr">
        <is>
          <t>CHARLOTTE</t>
        </is>
      </c>
      <c r="G330" s="59" t="n"/>
      <c r="N330" s="59" t="n"/>
      <c r="O330" s="59" t="n"/>
      <c r="X330" s="61" t="n"/>
      <c r="Y330" s="61" t="n"/>
    </row>
    <row r="331" ht="14.25" customHeight="1" s="86">
      <c r="E331" s="53" t="inlineStr">
        <is>
          <t>FL</t>
        </is>
      </c>
      <c r="F331" s="53" t="inlineStr">
        <is>
          <t>CITRUS</t>
        </is>
      </c>
      <c r="G331" s="59" t="n"/>
      <c r="N331" s="59" t="n"/>
      <c r="O331" s="59" t="n"/>
      <c r="X331" s="61" t="n"/>
      <c r="Y331" s="61" t="n"/>
    </row>
    <row r="332" ht="14.25" customHeight="1" s="86">
      <c r="E332" s="53" t="inlineStr">
        <is>
          <t>FL</t>
        </is>
      </c>
      <c r="F332" s="53" t="inlineStr">
        <is>
          <t>CLAY</t>
        </is>
      </c>
      <c r="G332" s="59" t="n"/>
      <c r="N332" s="59" t="n"/>
      <c r="O332" s="59" t="n"/>
      <c r="X332" s="61" t="n"/>
      <c r="Y332" s="61" t="n"/>
    </row>
    <row r="333" ht="14.25" customHeight="1" s="86">
      <c r="E333" s="53" t="inlineStr">
        <is>
          <t>FL</t>
        </is>
      </c>
      <c r="F333" s="53" t="inlineStr">
        <is>
          <t>COLLIER</t>
        </is>
      </c>
      <c r="G333" s="59" t="n"/>
      <c r="N333" s="59" t="n"/>
      <c r="O333" s="59" t="n"/>
      <c r="X333" s="61" t="n"/>
      <c r="Y333" s="61" t="n"/>
    </row>
    <row r="334" ht="14.25" customHeight="1" s="86">
      <c r="E334" s="53" t="inlineStr">
        <is>
          <t>FL</t>
        </is>
      </c>
      <c r="F334" s="53" t="inlineStr">
        <is>
          <t>COLUMBIA</t>
        </is>
      </c>
      <c r="G334" s="59" t="n"/>
      <c r="N334" s="59" t="n"/>
      <c r="O334" s="59" t="n"/>
      <c r="X334" s="61" t="n"/>
      <c r="Y334" s="61" t="n"/>
    </row>
    <row r="335" ht="14.25" customHeight="1" s="86">
      <c r="E335" s="53" t="inlineStr">
        <is>
          <t>FL</t>
        </is>
      </c>
      <c r="F335" s="53" t="inlineStr">
        <is>
          <t>DE SOTO</t>
        </is>
      </c>
      <c r="G335" s="59" t="n"/>
      <c r="N335" s="59" t="n"/>
      <c r="O335" s="59" t="n"/>
      <c r="X335" s="61" t="n"/>
      <c r="Y335" s="61" t="n"/>
    </row>
    <row r="336" ht="14.25" customHeight="1" s="86">
      <c r="E336" s="53" t="inlineStr">
        <is>
          <t>FL</t>
        </is>
      </c>
      <c r="F336" s="53" t="inlineStr">
        <is>
          <t>DIXIE</t>
        </is>
      </c>
      <c r="G336" s="59" t="n"/>
      <c r="N336" s="59" t="n"/>
      <c r="O336" s="59" t="n"/>
      <c r="X336" s="61" t="n"/>
      <c r="Y336" s="61" t="n"/>
    </row>
    <row r="337" ht="14.25" customHeight="1" s="86">
      <c r="E337" s="53" t="inlineStr">
        <is>
          <t>FL</t>
        </is>
      </c>
      <c r="F337" s="53" t="inlineStr">
        <is>
          <t>DUVAL</t>
        </is>
      </c>
      <c r="G337" s="59" t="n"/>
      <c r="N337" s="59" t="n"/>
      <c r="O337" s="59" t="n"/>
      <c r="X337" s="61" t="n"/>
      <c r="Y337" s="61" t="n"/>
    </row>
    <row r="338" ht="14.25" customHeight="1" s="86">
      <c r="E338" s="53" t="inlineStr">
        <is>
          <t>FL</t>
        </is>
      </c>
      <c r="F338" s="53" t="inlineStr">
        <is>
          <t>ESCAMBIA</t>
        </is>
      </c>
      <c r="G338" s="59" t="n"/>
      <c r="N338" s="59" t="n"/>
      <c r="O338" s="59" t="n"/>
      <c r="X338" s="61" t="n"/>
      <c r="Y338" s="61" t="n"/>
    </row>
    <row r="339" ht="14.25" customHeight="1" s="86">
      <c r="E339" s="53" t="inlineStr">
        <is>
          <t>FL</t>
        </is>
      </c>
      <c r="F339" s="53" t="inlineStr">
        <is>
          <t>FLAGLER</t>
        </is>
      </c>
      <c r="G339" s="59" t="n"/>
      <c r="N339" s="59" t="n"/>
      <c r="O339" s="59" t="n"/>
      <c r="X339" s="61" t="n"/>
      <c r="Y339" s="61" t="n"/>
    </row>
    <row r="340" ht="14.25" customHeight="1" s="86">
      <c r="E340" s="53" t="inlineStr">
        <is>
          <t>FL</t>
        </is>
      </c>
      <c r="F340" s="53" t="inlineStr">
        <is>
          <t>FRANKLIN</t>
        </is>
      </c>
      <c r="G340" s="59" t="n"/>
      <c r="N340" s="59" t="n"/>
      <c r="O340" s="59" t="n"/>
      <c r="X340" s="61" t="n"/>
      <c r="Y340" s="61" t="n"/>
    </row>
    <row r="341" ht="14.25" customHeight="1" s="86">
      <c r="E341" s="53" t="inlineStr">
        <is>
          <t>FL</t>
        </is>
      </c>
      <c r="F341" s="53" t="inlineStr">
        <is>
          <t>GADSDEN</t>
        </is>
      </c>
      <c r="G341" s="59" t="n"/>
      <c r="N341" s="59" t="n"/>
      <c r="O341" s="59" t="n"/>
      <c r="X341" s="61" t="n"/>
      <c r="Y341" s="61" t="n"/>
    </row>
    <row r="342" ht="14.25" customHeight="1" s="86">
      <c r="E342" s="53" t="inlineStr">
        <is>
          <t>FL</t>
        </is>
      </c>
      <c r="F342" s="53" t="inlineStr">
        <is>
          <t>GILCHRIST</t>
        </is>
      </c>
      <c r="G342" s="59" t="n"/>
      <c r="N342" s="59" t="n"/>
      <c r="O342" s="59" t="n"/>
      <c r="X342" s="61" t="n"/>
      <c r="Y342" s="61" t="n"/>
    </row>
    <row r="343" ht="14.25" customHeight="1" s="86">
      <c r="E343" s="53" t="inlineStr">
        <is>
          <t>FL</t>
        </is>
      </c>
      <c r="F343" s="53" t="inlineStr">
        <is>
          <t>GLADES</t>
        </is>
      </c>
      <c r="G343" s="59" t="n"/>
      <c r="N343" s="59" t="n"/>
      <c r="O343" s="59" t="n"/>
      <c r="X343" s="61" t="n"/>
      <c r="Y343" s="61" t="n"/>
    </row>
    <row r="344" ht="14.25" customHeight="1" s="86">
      <c r="E344" s="53" t="inlineStr">
        <is>
          <t>FL</t>
        </is>
      </c>
      <c r="F344" s="53" t="inlineStr">
        <is>
          <t>GULF</t>
        </is>
      </c>
      <c r="G344" s="59" t="n"/>
      <c r="N344" s="59" t="n"/>
      <c r="O344" s="59" t="n"/>
      <c r="X344" s="61" t="n"/>
      <c r="Y344" s="61" t="n"/>
    </row>
    <row r="345" ht="14.25" customHeight="1" s="86">
      <c r="E345" s="53" t="inlineStr">
        <is>
          <t>FL</t>
        </is>
      </c>
      <c r="F345" s="53" t="inlineStr">
        <is>
          <t>HAMILTON</t>
        </is>
      </c>
      <c r="G345" s="59" t="n"/>
      <c r="N345" s="59" t="n"/>
      <c r="O345" s="59" t="n"/>
      <c r="X345" s="61" t="n"/>
      <c r="Y345" s="61" t="n"/>
    </row>
    <row r="346" ht="14.25" customHeight="1" s="86">
      <c r="E346" s="53" t="inlineStr">
        <is>
          <t>FL</t>
        </is>
      </c>
      <c r="F346" s="53" t="inlineStr">
        <is>
          <t>HARDEE</t>
        </is>
      </c>
      <c r="G346" s="59" t="n"/>
      <c r="N346" s="59" t="n"/>
      <c r="O346" s="59" t="n"/>
      <c r="X346" s="61" t="n"/>
      <c r="Y346" s="61" t="n"/>
    </row>
    <row r="347" ht="14.25" customHeight="1" s="86">
      <c r="E347" s="53" t="inlineStr">
        <is>
          <t>FL</t>
        </is>
      </c>
      <c r="F347" s="53" t="inlineStr">
        <is>
          <t>HENDRY</t>
        </is>
      </c>
      <c r="G347" s="59" t="n"/>
      <c r="N347" s="59" t="n"/>
      <c r="O347" s="59" t="n"/>
      <c r="X347" s="61" t="n"/>
      <c r="Y347" s="61" t="n"/>
    </row>
    <row r="348" ht="14.25" customHeight="1" s="86">
      <c r="E348" s="53" t="inlineStr">
        <is>
          <t>FL</t>
        </is>
      </c>
      <c r="F348" s="53" t="inlineStr">
        <is>
          <t>HERNANDO</t>
        </is>
      </c>
      <c r="G348" s="59" t="n"/>
      <c r="N348" s="59" t="n"/>
      <c r="O348" s="59" t="n"/>
      <c r="X348" s="61" t="n"/>
      <c r="Y348" s="61" t="n"/>
    </row>
    <row r="349" ht="14.25" customHeight="1" s="86">
      <c r="E349" s="53" t="inlineStr">
        <is>
          <t>FL</t>
        </is>
      </c>
      <c r="F349" s="53" t="inlineStr">
        <is>
          <t>HIGHLANDS</t>
        </is>
      </c>
      <c r="G349" s="59" t="n"/>
      <c r="N349" s="59" t="n"/>
      <c r="O349" s="59" t="n"/>
      <c r="X349" s="61" t="n"/>
      <c r="Y349" s="61" t="n"/>
    </row>
    <row r="350" ht="14.25" customHeight="1" s="86">
      <c r="E350" s="53" t="inlineStr">
        <is>
          <t>FL</t>
        </is>
      </c>
      <c r="F350" s="53" t="inlineStr">
        <is>
          <t>HILLSBOROUGH</t>
        </is>
      </c>
      <c r="G350" s="59" t="n"/>
      <c r="N350" s="59" t="n"/>
      <c r="O350" s="59" t="n"/>
      <c r="X350" s="61" t="n"/>
      <c r="Y350" s="61" t="n"/>
    </row>
    <row r="351" ht="14.25" customHeight="1" s="86">
      <c r="E351" s="53" t="inlineStr">
        <is>
          <t>FL</t>
        </is>
      </c>
      <c r="F351" s="53" t="inlineStr">
        <is>
          <t>HOLMES</t>
        </is>
      </c>
      <c r="G351" s="59" t="n"/>
      <c r="N351" s="59" t="n"/>
      <c r="O351" s="59" t="n"/>
      <c r="X351" s="61" t="n"/>
      <c r="Y351" s="61" t="n"/>
    </row>
    <row r="352" ht="14.25" customHeight="1" s="86">
      <c r="E352" s="53" t="inlineStr">
        <is>
          <t>FL</t>
        </is>
      </c>
      <c r="F352" s="53" t="inlineStr">
        <is>
          <t>INDIAN RIVER</t>
        </is>
      </c>
      <c r="G352" s="59" t="n"/>
      <c r="N352" s="59" t="n"/>
      <c r="O352" s="59" t="n"/>
      <c r="X352" s="61" t="n"/>
      <c r="Y352" s="61" t="n"/>
    </row>
    <row r="353" ht="14.25" customHeight="1" s="86">
      <c r="E353" s="53" t="inlineStr">
        <is>
          <t>FL</t>
        </is>
      </c>
      <c r="F353" s="53" t="inlineStr">
        <is>
          <t>JACKSON</t>
        </is>
      </c>
      <c r="G353" s="59" t="n"/>
      <c r="N353" s="59" t="n"/>
      <c r="O353" s="59" t="n"/>
      <c r="X353" s="61" t="n"/>
      <c r="Y353" s="61" t="n"/>
    </row>
    <row r="354" ht="14.25" customHeight="1" s="86">
      <c r="E354" s="53" t="inlineStr">
        <is>
          <t>FL</t>
        </is>
      </c>
      <c r="F354" s="53" t="inlineStr">
        <is>
          <t>JEFFERSON</t>
        </is>
      </c>
      <c r="G354" s="59" t="n"/>
      <c r="N354" s="59" t="n"/>
      <c r="O354" s="59" t="n"/>
      <c r="X354" s="61" t="n"/>
      <c r="Y354" s="61" t="n"/>
    </row>
    <row r="355" ht="14.25" customHeight="1" s="86">
      <c r="E355" s="53" t="inlineStr">
        <is>
          <t>FL</t>
        </is>
      </c>
      <c r="F355" s="53" t="inlineStr">
        <is>
          <t>LAFAYETTE</t>
        </is>
      </c>
      <c r="G355" s="59" t="n"/>
      <c r="N355" s="59" t="n"/>
      <c r="O355" s="59" t="n"/>
      <c r="X355" s="61" t="n"/>
      <c r="Y355" s="61" t="n"/>
    </row>
    <row r="356" ht="14.25" customHeight="1" s="86">
      <c r="E356" s="53" t="inlineStr">
        <is>
          <t>FL</t>
        </is>
      </c>
      <c r="F356" s="53" t="inlineStr">
        <is>
          <t>LAKE</t>
        </is>
      </c>
      <c r="G356" s="59" t="n"/>
      <c r="N356" s="59" t="n"/>
      <c r="O356" s="59" t="n"/>
      <c r="X356" s="61" t="n"/>
      <c r="Y356" s="61" t="n"/>
    </row>
    <row r="357" ht="14.25" customHeight="1" s="86">
      <c r="E357" s="53" t="inlineStr">
        <is>
          <t>FL</t>
        </is>
      </c>
      <c r="F357" s="53" t="inlineStr">
        <is>
          <t>LEE</t>
        </is>
      </c>
      <c r="G357" s="59" t="n"/>
      <c r="N357" s="59" t="n"/>
      <c r="O357" s="59" t="n"/>
      <c r="X357" s="61" t="n"/>
      <c r="Y357" s="61" t="n"/>
    </row>
    <row r="358" ht="14.25" customHeight="1" s="86">
      <c r="E358" s="53" t="inlineStr">
        <is>
          <t>FL</t>
        </is>
      </c>
      <c r="F358" s="53" t="inlineStr">
        <is>
          <t>LEON</t>
        </is>
      </c>
      <c r="G358" s="59" t="n"/>
      <c r="N358" s="59" t="n"/>
      <c r="O358" s="59" t="n"/>
      <c r="X358" s="61" t="n"/>
      <c r="Y358" s="61" t="n"/>
    </row>
    <row r="359" ht="14.25" customHeight="1" s="86">
      <c r="E359" s="53" t="inlineStr">
        <is>
          <t>FL</t>
        </is>
      </c>
      <c r="F359" s="53" t="inlineStr">
        <is>
          <t>LEVY</t>
        </is>
      </c>
      <c r="G359" s="59" t="n"/>
      <c r="N359" s="59" t="n"/>
      <c r="O359" s="59" t="n"/>
      <c r="X359" s="61" t="n"/>
      <c r="Y359" s="61" t="n"/>
    </row>
    <row r="360" ht="14.25" customHeight="1" s="86">
      <c r="E360" s="53" t="inlineStr">
        <is>
          <t>FL</t>
        </is>
      </c>
      <c r="F360" s="53" t="inlineStr">
        <is>
          <t>LIBERTY</t>
        </is>
      </c>
      <c r="G360" s="59" t="n"/>
      <c r="N360" s="59" t="n"/>
      <c r="O360" s="59" t="n"/>
      <c r="X360" s="61" t="n"/>
      <c r="Y360" s="61" t="n"/>
    </row>
    <row r="361" ht="14.25" customHeight="1" s="86">
      <c r="E361" s="53" t="inlineStr">
        <is>
          <t>FL</t>
        </is>
      </c>
      <c r="F361" s="53" t="inlineStr">
        <is>
          <t>MADISON</t>
        </is>
      </c>
      <c r="G361" s="59" t="n"/>
      <c r="N361" s="59" t="n"/>
      <c r="O361" s="59" t="n"/>
      <c r="X361" s="61" t="n"/>
      <c r="Y361" s="61" t="n"/>
    </row>
    <row r="362" ht="14.25" customHeight="1" s="86">
      <c r="E362" s="53" t="inlineStr">
        <is>
          <t>FL</t>
        </is>
      </c>
      <c r="F362" s="53" t="inlineStr">
        <is>
          <t>MANATEE</t>
        </is>
      </c>
      <c r="G362" s="59" t="n"/>
      <c r="N362" s="59" t="n"/>
      <c r="O362" s="59" t="n"/>
      <c r="X362" s="61" t="n"/>
      <c r="Y362" s="61" t="n"/>
    </row>
    <row r="363" ht="14.25" customHeight="1" s="86">
      <c r="E363" s="53" t="inlineStr">
        <is>
          <t>FL</t>
        </is>
      </c>
      <c r="F363" s="53" t="inlineStr">
        <is>
          <t>MARION</t>
        </is>
      </c>
      <c r="G363" s="59" t="n"/>
      <c r="N363" s="59" t="n"/>
      <c r="O363" s="59" t="n"/>
      <c r="X363" s="61" t="n"/>
      <c r="Y363" s="61" t="n"/>
    </row>
    <row r="364" ht="14.25" customHeight="1" s="86">
      <c r="E364" s="53" t="inlineStr">
        <is>
          <t>FL</t>
        </is>
      </c>
      <c r="F364" s="53" t="inlineStr">
        <is>
          <t>MARTIN</t>
        </is>
      </c>
      <c r="G364" s="59" t="n"/>
      <c r="N364" s="59" t="n"/>
      <c r="O364" s="59" t="n"/>
      <c r="X364" s="61" t="n"/>
      <c r="Y364" s="61" t="n"/>
    </row>
    <row r="365" ht="14.25" customHeight="1" s="86">
      <c r="E365" s="53" t="inlineStr">
        <is>
          <t>FL</t>
        </is>
      </c>
      <c r="F365" s="53" t="inlineStr">
        <is>
          <t>MIAMI-DADE</t>
        </is>
      </c>
      <c r="G365" s="59" t="n"/>
      <c r="N365" s="59" t="n"/>
      <c r="O365" s="59" t="n"/>
      <c r="X365" s="61" t="n"/>
      <c r="Y365" s="61" t="n"/>
    </row>
    <row r="366" ht="14.25" customHeight="1" s="86">
      <c r="E366" s="53" t="inlineStr">
        <is>
          <t>FL</t>
        </is>
      </c>
      <c r="F366" s="53" t="inlineStr">
        <is>
          <t>MONROE</t>
        </is>
      </c>
      <c r="G366" s="59" t="n"/>
      <c r="N366" s="59" t="n"/>
      <c r="O366" s="59" t="n"/>
      <c r="X366" s="61" t="n"/>
      <c r="Y366" s="61" t="n"/>
    </row>
    <row r="367" ht="14.25" customHeight="1" s="86">
      <c r="E367" s="53" t="inlineStr">
        <is>
          <t>FL</t>
        </is>
      </c>
      <c r="F367" s="53" t="inlineStr">
        <is>
          <t>NASSAU</t>
        </is>
      </c>
      <c r="G367" s="59" t="n"/>
      <c r="N367" s="59" t="n"/>
      <c r="O367" s="59" t="n"/>
      <c r="X367" s="61" t="n"/>
      <c r="Y367" s="61" t="n"/>
    </row>
    <row r="368" ht="14.25" customHeight="1" s="86">
      <c r="E368" s="53" t="inlineStr">
        <is>
          <t>FL</t>
        </is>
      </c>
      <c r="F368" s="53" t="inlineStr">
        <is>
          <t>OKALOOSA</t>
        </is>
      </c>
      <c r="G368" s="59" t="n"/>
      <c r="N368" s="59" t="n"/>
      <c r="O368" s="59" t="n"/>
      <c r="X368" s="61" t="n"/>
      <c r="Y368" s="61" t="n"/>
    </row>
    <row r="369" ht="14.25" customHeight="1" s="86">
      <c r="E369" s="53" t="inlineStr">
        <is>
          <t>FL</t>
        </is>
      </c>
      <c r="F369" s="53" t="inlineStr">
        <is>
          <t>OKEECHOBEE</t>
        </is>
      </c>
      <c r="G369" s="59" t="n"/>
      <c r="N369" s="59" t="n"/>
      <c r="O369" s="59" t="n"/>
      <c r="X369" s="61" t="n"/>
      <c r="Y369" s="61" t="n"/>
    </row>
    <row r="370" ht="14.25" customHeight="1" s="86">
      <c r="E370" s="53" t="inlineStr">
        <is>
          <t>FL</t>
        </is>
      </c>
      <c r="F370" s="53" t="inlineStr">
        <is>
          <t>ORANGE</t>
        </is>
      </c>
      <c r="G370" s="59" t="n"/>
      <c r="N370" s="59" t="n"/>
      <c r="O370" s="59" t="n"/>
      <c r="X370" s="61" t="n"/>
      <c r="Y370" s="61" t="n"/>
    </row>
    <row r="371" ht="14.25" customHeight="1" s="86">
      <c r="E371" s="53" t="inlineStr">
        <is>
          <t>FL</t>
        </is>
      </c>
      <c r="F371" s="53" t="inlineStr">
        <is>
          <t>OSCEOLA</t>
        </is>
      </c>
      <c r="G371" s="59" t="n"/>
      <c r="N371" s="59" t="n"/>
      <c r="O371" s="59" t="n"/>
      <c r="X371" s="61" t="n"/>
      <c r="Y371" s="61" t="n"/>
    </row>
    <row r="372" ht="14.25" customHeight="1" s="86">
      <c r="E372" s="53" t="inlineStr">
        <is>
          <t>FL</t>
        </is>
      </c>
      <c r="F372" s="53" t="inlineStr">
        <is>
          <t>PALM BEACH</t>
        </is>
      </c>
      <c r="G372" s="59" t="n"/>
      <c r="N372" s="59" t="n"/>
      <c r="O372" s="59" t="n"/>
      <c r="X372" s="61" t="n"/>
      <c r="Y372" s="61" t="n"/>
    </row>
    <row r="373" ht="14.25" customHeight="1" s="86">
      <c r="E373" s="53" t="inlineStr">
        <is>
          <t>FL</t>
        </is>
      </c>
      <c r="F373" s="53" t="inlineStr">
        <is>
          <t>PASCO</t>
        </is>
      </c>
      <c r="G373" s="59" t="n"/>
      <c r="N373" s="59" t="n"/>
      <c r="O373" s="59" t="n"/>
      <c r="X373" s="61" t="n"/>
      <c r="Y373" s="61" t="n"/>
    </row>
    <row r="374" ht="14.25" customHeight="1" s="86">
      <c r="E374" s="53" t="inlineStr">
        <is>
          <t>FL</t>
        </is>
      </c>
      <c r="F374" s="53" t="inlineStr">
        <is>
          <t>PINELLAS</t>
        </is>
      </c>
      <c r="G374" s="59" t="n"/>
      <c r="N374" s="59" t="n"/>
      <c r="O374" s="59" t="n"/>
      <c r="X374" s="61" t="n"/>
      <c r="Y374" s="61" t="n"/>
    </row>
    <row r="375" ht="14.25" customHeight="1" s="86">
      <c r="E375" s="53" t="inlineStr">
        <is>
          <t>FL</t>
        </is>
      </c>
      <c r="F375" s="53" t="inlineStr">
        <is>
          <t>POLK</t>
        </is>
      </c>
      <c r="G375" s="59" t="n"/>
      <c r="N375" s="59" t="n"/>
      <c r="O375" s="59" t="n"/>
      <c r="X375" s="61" t="n"/>
      <c r="Y375" s="61" t="n"/>
    </row>
    <row r="376" ht="14.25" customHeight="1" s="86">
      <c r="E376" s="53" t="inlineStr">
        <is>
          <t>FL</t>
        </is>
      </c>
      <c r="F376" s="53" t="inlineStr">
        <is>
          <t>PUTNAM</t>
        </is>
      </c>
      <c r="G376" s="59" t="n"/>
      <c r="N376" s="59" t="n"/>
      <c r="O376" s="59" t="n"/>
      <c r="X376" s="61" t="n"/>
      <c r="Y376" s="61" t="n"/>
    </row>
    <row r="377" ht="14.25" customHeight="1" s="86">
      <c r="E377" s="53" t="inlineStr">
        <is>
          <t>FL</t>
        </is>
      </c>
      <c r="F377" s="53" t="inlineStr">
        <is>
          <t>SAINT JOHNS</t>
        </is>
      </c>
      <c r="G377" s="59" t="n"/>
      <c r="N377" s="59" t="n"/>
      <c r="O377" s="59" t="n"/>
      <c r="X377" s="61" t="n"/>
      <c r="Y377" s="61" t="n"/>
    </row>
    <row r="378" ht="14.25" customHeight="1" s="86">
      <c r="E378" s="53" t="inlineStr">
        <is>
          <t>FL</t>
        </is>
      </c>
      <c r="F378" s="53" t="inlineStr">
        <is>
          <t>SAINT LUCIE</t>
        </is>
      </c>
      <c r="G378" s="59" t="n"/>
      <c r="N378" s="59" t="n"/>
      <c r="O378" s="59" t="n"/>
      <c r="X378" s="61" t="n"/>
      <c r="Y378" s="61" t="n"/>
    </row>
    <row r="379" ht="14.25" customHeight="1" s="86">
      <c r="E379" s="53" t="inlineStr">
        <is>
          <t>FL</t>
        </is>
      </c>
      <c r="F379" s="53" t="inlineStr">
        <is>
          <t>SANTA ROSA</t>
        </is>
      </c>
      <c r="G379" s="59" t="n"/>
      <c r="N379" s="59" t="n"/>
      <c r="O379" s="59" t="n"/>
      <c r="X379" s="61" t="n"/>
      <c r="Y379" s="61" t="n"/>
    </row>
    <row r="380" ht="14.25" customHeight="1" s="86">
      <c r="E380" s="53" t="inlineStr">
        <is>
          <t>FL</t>
        </is>
      </c>
      <c r="F380" s="53" t="inlineStr">
        <is>
          <t>SARASOTA</t>
        </is>
      </c>
      <c r="G380" s="59" t="n"/>
      <c r="N380" s="59" t="n"/>
      <c r="O380" s="59" t="n"/>
      <c r="X380" s="61" t="n"/>
      <c r="Y380" s="61" t="n"/>
    </row>
    <row r="381" ht="14.25" customHeight="1" s="86">
      <c r="E381" s="53" t="inlineStr">
        <is>
          <t>FL</t>
        </is>
      </c>
      <c r="F381" s="53" t="inlineStr">
        <is>
          <t>SEMINOLE</t>
        </is>
      </c>
      <c r="G381" s="59" t="n"/>
      <c r="N381" s="59" t="n"/>
      <c r="O381" s="59" t="n"/>
      <c r="X381" s="61" t="n"/>
      <c r="Y381" s="61" t="n"/>
    </row>
    <row r="382" ht="14.25" customHeight="1" s="86">
      <c r="E382" s="53" t="inlineStr">
        <is>
          <t>FL</t>
        </is>
      </c>
      <c r="F382" s="53" t="inlineStr">
        <is>
          <t>SUMTER</t>
        </is>
      </c>
      <c r="G382" s="59" t="n"/>
      <c r="N382" s="59" t="n"/>
      <c r="O382" s="59" t="n"/>
      <c r="X382" s="61" t="n"/>
      <c r="Y382" s="61" t="n"/>
    </row>
    <row r="383" ht="14.25" customHeight="1" s="86">
      <c r="E383" s="53" t="inlineStr">
        <is>
          <t>FL</t>
        </is>
      </c>
      <c r="F383" s="53" t="inlineStr">
        <is>
          <t>SUWANNEE</t>
        </is>
      </c>
      <c r="G383" s="59" t="n"/>
      <c r="N383" s="59" t="n"/>
      <c r="O383" s="59" t="n"/>
      <c r="X383" s="61" t="n"/>
      <c r="Y383" s="61" t="n"/>
    </row>
    <row r="384" ht="14.25" customHeight="1" s="86">
      <c r="E384" s="53" t="inlineStr">
        <is>
          <t>FL</t>
        </is>
      </c>
      <c r="F384" s="53" t="inlineStr">
        <is>
          <t>TAYLOR</t>
        </is>
      </c>
      <c r="G384" s="59" t="n"/>
      <c r="N384" s="59" t="n"/>
      <c r="O384" s="59" t="n"/>
      <c r="X384" s="61" t="n"/>
      <c r="Y384" s="61" t="n"/>
    </row>
    <row r="385" ht="14.25" customHeight="1" s="86">
      <c r="E385" s="53" t="inlineStr">
        <is>
          <t>FL</t>
        </is>
      </c>
      <c r="F385" s="53" t="inlineStr">
        <is>
          <t>UNION</t>
        </is>
      </c>
      <c r="G385" s="59" t="n"/>
      <c r="N385" s="59" t="n"/>
      <c r="O385" s="59" t="n"/>
      <c r="X385" s="61" t="n"/>
      <c r="Y385" s="61" t="n"/>
    </row>
    <row r="386" ht="14.25" customHeight="1" s="86">
      <c r="E386" s="53" t="inlineStr">
        <is>
          <t>FL</t>
        </is>
      </c>
      <c r="F386" s="53" t="inlineStr">
        <is>
          <t>VOLUSIA</t>
        </is>
      </c>
      <c r="G386" s="59" t="n"/>
      <c r="N386" s="59" t="n"/>
      <c r="O386" s="59" t="n"/>
      <c r="X386" s="61" t="n"/>
      <c r="Y386" s="61" t="n"/>
    </row>
    <row r="387" ht="14.25" customHeight="1" s="86">
      <c r="E387" s="53" t="inlineStr">
        <is>
          <t>FL</t>
        </is>
      </c>
      <c r="F387" s="53" t="inlineStr">
        <is>
          <t>WAKULLA</t>
        </is>
      </c>
      <c r="G387" s="59" t="n"/>
      <c r="N387" s="59" t="n"/>
      <c r="O387" s="59" t="n"/>
      <c r="X387" s="61" t="n"/>
      <c r="Y387" s="61" t="n"/>
    </row>
    <row r="388" ht="14.25" customHeight="1" s="86">
      <c r="E388" s="53" t="inlineStr">
        <is>
          <t>FL</t>
        </is>
      </c>
      <c r="F388" s="53" t="inlineStr">
        <is>
          <t>WALTON</t>
        </is>
      </c>
      <c r="G388" s="59" t="n"/>
      <c r="N388" s="59" t="n"/>
      <c r="O388" s="59" t="n"/>
      <c r="X388" s="61" t="n"/>
      <c r="Y388" s="61" t="n"/>
    </row>
    <row r="389" ht="14.25" customHeight="1" s="86">
      <c r="E389" s="53" t="inlineStr">
        <is>
          <t>FL</t>
        </is>
      </c>
      <c r="F389" s="53" t="inlineStr">
        <is>
          <t>WASHINGTON</t>
        </is>
      </c>
      <c r="G389" s="59" t="n"/>
      <c r="N389" s="59" t="n"/>
      <c r="O389" s="59" t="n"/>
      <c r="X389" s="61" t="n"/>
      <c r="Y389" s="61" t="n"/>
    </row>
    <row r="390" ht="14.25" customHeight="1" s="86">
      <c r="E390" s="53" t="inlineStr">
        <is>
          <t>FM</t>
        </is>
      </c>
      <c r="F390" s="53" t="inlineStr">
        <is>
          <t>FEDERATED STATES OF MICRO</t>
        </is>
      </c>
      <c r="G390" s="59" t="n"/>
      <c r="N390" s="59" t="n"/>
      <c r="O390" s="59" t="n"/>
      <c r="X390" s="61" t="n"/>
      <c r="Y390" s="61" t="n"/>
    </row>
    <row r="391" ht="14.25" customHeight="1" s="86">
      <c r="E391" s="53" t="inlineStr">
        <is>
          <t>GA</t>
        </is>
      </c>
      <c r="F391" s="53" t="inlineStr">
        <is>
          <t>APPLING</t>
        </is>
      </c>
      <c r="G391" s="59" t="n"/>
      <c r="N391" s="59" t="n"/>
      <c r="O391" s="59" t="n"/>
      <c r="X391" s="61" t="n"/>
      <c r="Y391" s="61" t="n"/>
    </row>
    <row r="392" ht="14.25" customHeight="1" s="86">
      <c r="E392" s="53" t="inlineStr">
        <is>
          <t>GA</t>
        </is>
      </c>
      <c r="F392" s="53" t="inlineStr">
        <is>
          <t>ATKINSON</t>
        </is>
      </c>
      <c r="G392" s="59" t="n"/>
      <c r="N392" s="59" t="n"/>
      <c r="O392" s="59" t="n"/>
      <c r="X392" s="61" t="n"/>
      <c r="Y392" s="61" t="n"/>
    </row>
    <row r="393" ht="14.25" customHeight="1" s="86">
      <c r="E393" s="53" t="inlineStr">
        <is>
          <t>GA</t>
        </is>
      </c>
      <c r="F393" s="53" t="inlineStr">
        <is>
          <t>BACON</t>
        </is>
      </c>
      <c r="G393" s="59" t="n"/>
      <c r="N393" s="59" t="n"/>
      <c r="O393" s="59" t="n"/>
      <c r="X393" s="61" t="n"/>
      <c r="Y393" s="61" t="n"/>
    </row>
    <row r="394" ht="14.25" customHeight="1" s="86">
      <c r="E394" s="53" t="inlineStr">
        <is>
          <t>GA</t>
        </is>
      </c>
      <c r="F394" s="53" t="inlineStr">
        <is>
          <t>BAKER</t>
        </is>
      </c>
      <c r="G394" s="59" t="n"/>
      <c r="N394" s="59" t="n"/>
      <c r="O394" s="59" t="n"/>
      <c r="X394" s="61" t="n"/>
      <c r="Y394" s="61" t="n"/>
    </row>
    <row r="395" ht="14.25" customHeight="1" s="86">
      <c r="E395" s="53" t="inlineStr">
        <is>
          <t>GA</t>
        </is>
      </c>
      <c r="F395" s="53" t="inlineStr">
        <is>
          <t>BALDWIN</t>
        </is>
      </c>
      <c r="G395" s="59" t="n"/>
      <c r="N395" s="59" t="n"/>
      <c r="O395" s="59" t="n"/>
      <c r="X395" s="61" t="n"/>
      <c r="Y395" s="61" t="n"/>
    </row>
    <row r="396" ht="14.25" customHeight="1" s="86">
      <c r="E396" s="53" t="inlineStr">
        <is>
          <t>GA</t>
        </is>
      </c>
      <c r="F396" s="53" t="inlineStr">
        <is>
          <t>BANKS</t>
        </is>
      </c>
      <c r="G396" s="59" t="n"/>
      <c r="N396" s="59" t="n"/>
      <c r="O396" s="59" t="n"/>
      <c r="X396" s="61" t="n"/>
      <c r="Y396" s="61" t="n"/>
    </row>
    <row r="397" ht="14.25" customHeight="1" s="86">
      <c r="E397" s="53" t="inlineStr">
        <is>
          <t>GA</t>
        </is>
      </c>
      <c r="F397" s="53" t="inlineStr">
        <is>
          <t>BARROW</t>
        </is>
      </c>
      <c r="G397" s="59" t="n"/>
      <c r="N397" s="59" t="n"/>
      <c r="O397" s="59" t="n"/>
      <c r="X397" s="61" t="n"/>
      <c r="Y397" s="61" t="n"/>
    </row>
    <row r="398" ht="14.25" customHeight="1" s="86">
      <c r="E398" s="53" t="inlineStr">
        <is>
          <t>GA</t>
        </is>
      </c>
      <c r="F398" s="53" t="inlineStr">
        <is>
          <t>BARTOW</t>
        </is>
      </c>
      <c r="G398" s="59" t="n"/>
      <c r="N398" s="59" t="n"/>
      <c r="O398" s="59" t="n"/>
      <c r="X398" s="61" t="n"/>
      <c r="Y398" s="61" t="n"/>
    </row>
    <row r="399" ht="14.25" customHeight="1" s="86">
      <c r="E399" s="53" t="inlineStr">
        <is>
          <t>GA</t>
        </is>
      </c>
      <c r="F399" s="53" t="inlineStr">
        <is>
          <t>BEN HILL</t>
        </is>
      </c>
      <c r="G399" s="59" t="n"/>
      <c r="N399" s="59" t="n"/>
      <c r="O399" s="59" t="n"/>
      <c r="X399" s="61" t="n"/>
      <c r="Y399" s="61" t="n"/>
    </row>
    <row r="400" ht="14.25" customHeight="1" s="86">
      <c r="E400" s="53" t="inlineStr">
        <is>
          <t>GA</t>
        </is>
      </c>
      <c r="F400" s="53" t="inlineStr">
        <is>
          <t>BERRIEN</t>
        </is>
      </c>
      <c r="G400" s="59" t="n"/>
      <c r="N400" s="59" t="n"/>
      <c r="O400" s="59" t="n"/>
      <c r="X400" s="61" t="n"/>
      <c r="Y400" s="61" t="n"/>
    </row>
    <row r="401" ht="14.25" customHeight="1" s="86">
      <c r="E401" s="53" t="inlineStr">
        <is>
          <t>GA</t>
        </is>
      </c>
      <c r="F401" s="53" t="inlineStr">
        <is>
          <t>BIBB</t>
        </is>
      </c>
      <c r="G401" s="59" t="n"/>
      <c r="N401" s="59" t="n"/>
      <c r="O401" s="59" t="n"/>
      <c r="X401" s="61" t="n"/>
      <c r="Y401" s="61" t="n"/>
    </row>
    <row r="402" ht="14.25" customHeight="1" s="86">
      <c r="E402" s="53" t="inlineStr">
        <is>
          <t>GA</t>
        </is>
      </c>
      <c r="F402" s="53" t="inlineStr">
        <is>
          <t>BLECKLEY</t>
        </is>
      </c>
      <c r="G402" s="59" t="n"/>
      <c r="N402" s="59" t="n"/>
      <c r="O402" s="59" t="n"/>
      <c r="X402" s="61" t="n"/>
      <c r="Y402" s="61" t="n"/>
    </row>
    <row r="403" ht="14.25" customHeight="1" s="86">
      <c r="E403" s="53" t="inlineStr">
        <is>
          <t>GA</t>
        </is>
      </c>
      <c r="F403" s="53" t="inlineStr">
        <is>
          <t>BRANTLEY</t>
        </is>
      </c>
      <c r="G403" s="59" t="n"/>
      <c r="N403" s="59" t="n"/>
      <c r="O403" s="59" t="n"/>
      <c r="X403" s="61" t="n"/>
      <c r="Y403" s="61" t="n"/>
    </row>
    <row r="404" ht="14.25" customHeight="1" s="86">
      <c r="E404" s="53" t="inlineStr">
        <is>
          <t>GA</t>
        </is>
      </c>
      <c r="F404" s="53" t="inlineStr">
        <is>
          <t>BROOKS</t>
        </is>
      </c>
      <c r="G404" s="59" t="n"/>
      <c r="N404" s="59" t="n"/>
      <c r="O404" s="59" t="n"/>
      <c r="X404" s="61" t="n"/>
      <c r="Y404" s="61" t="n"/>
    </row>
    <row r="405" ht="14.25" customHeight="1" s="86">
      <c r="E405" s="53" t="inlineStr">
        <is>
          <t>GA</t>
        </is>
      </c>
      <c r="F405" s="53" t="inlineStr">
        <is>
          <t>BRYAN</t>
        </is>
      </c>
      <c r="G405" s="59" t="n"/>
      <c r="N405" s="59" t="n"/>
      <c r="O405" s="59" t="n"/>
      <c r="X405" s="61" t="n"/>
      <c r="Y405" s="61" t="n"/>
    </row>
    <row r="406" ht="14.25" customHeight="1" s="86">
      <c r="E406" s="53" t="inlineStr">
        <is>
          <t>GA</t>
        </is>
      </c>
      <c r="F406" s="53" t="inlineStr">
        <is>
          <t>BULLOCH</t>
        </is>
      </c>
      <c r="G406" s="59" t="n"/>
      <c r="N406" s="59" t="n"/>
      <c r="O406" s="59" t="n"/>
      <c r="X406" s="61" t="n"/>
      <c r="Y406" s="61" t="n"/>
    </row>
    <row r="407" ht="14.25" customHeight="1" s="86">
      <c r="E407" s="53" t="inlineStr">
        <is>
          <t>GA</t>
        </is>
      </c>
      <c r="F407" s="53" t="inlineStr">
        <is>
          <t>BURKE</t>
        </is>
      </c>
      <c r="G407" s="59" t="n"/>
      <c r="N407" s="59" t="n"/>
      <c r="O407" s="59" t="n"/>
      <c r="X407" s="61" t="n"/>
      <c r="Y407" s="61" t="n"/>
    </row>
    <row r="408" ht="14.25" customHeight="1" s="86">
      <c r="E408" s="53" t="inlineStr">
        <is>
          <t>GA</t>
        </is>
      </c>
      <c r="F408" s="53" t="inlineStr">
        <is>
          <t>BUTTS</t>
        </is>
      </c>
      <c r="G408" s="59" t="n"/>
      <c r="N408" s="59" t="n"/>
      <c r="O408" s="59" t="n"/>
      <c r="X408" s="61" t="n"/>
      <c r="Y408" s="61" t="n"/>
    </row>
    <row r="409" ht="14.25" customHeight="1" s="86">
      <c r="E409" s="53" t="inlineStr">
        <is>
          <t>GA</t>
        </is>
      </c>
      <c r="F409" s="53" t="inlineStr">
        <is>
          <t>CALHOUN</t>
        </is>
      </c>
      <c r="G409" s="59" t="n"/>
      <c r="N409" s="59" t="n"/>
      <c r="O409" s="59" t="n"/>
      <c r="X409" s="61" t="n"/>
      <c r="Y409" s="61" t="n"/>
    </row>
    <row r="410" ht="14.25" customHeight="1" s="86">
      <c r="E410" s="53" t="inlineStr">
        <is>
          <t>GA</t>
        </is>
      </c>
      <c r="F410" s="53" t="inlineStr">
        <is>
          <t>CAMDEN</t>
        </is>
      </c>
      <c r="G410" s="59" t="n"/>
      <c r="N410" s="59" t="n"/>
      <c r="O410" s="59" t="n"/>
      <c r="X410" s="61" t="n"/>
      <c r="Y410" s="61" t="n"/>
    </row>
    <row r="411" ht="14.25" customHeight="1" s="86">
      <c r="E411" s="53" t="inlineStr">
        <is>
          <t>GA</t>
        </is>
      </c>
      <c r="F411" s="53" t="inlineStr">
        <is>
          <t>CANDLER</t>
        </is>
      </c>
      <c r="G411" s="59" t="n"/>
      <c r="N411" s="59" t="n"/>
      <c r="O411" s="59" t="n"/>
      <c r="X411" s="61" t="n"/>
      <c r="Y411" s="61" t="n"/>
    </row>
    <row r="412" ht="14.25" customHeight="1" s="86">
      <c r="E412" s="53" t="inlineStr">
        <is>
          <t>GA</t>
        </is>
      </c>
      <c r="F412" s="53" t="inlineStr">
        <is>
          <t>CARROLL</t>
        </is>
      </c>
      <c r="G412" s="59" t="n"/>
      <c r="N412" s="59" t="n"/>
      <c r="O412" s="59" t="n"/>
      <c r="X412" s="61" t="n"/>
      <c r="Y412" s="61" t="n"/>
    </row>
    <row r="413" ht="14.25" customHeight="1" s="86">
      <c r="E413" s="53" t="inlineStr">
        <is>
          <t>GA</t>
        </is>
      </c>
      <c r="F413" s="53" t="inlineStr">
        <is>
          <t>CATOOSA</t>
        </is>
      </c>
      <c r="G413" s="59" t="n"/>
      <c r="N413" s="59" t="n"/>
      <c r="O413" s="59" t="n"/>
      <c r="X413" s="61" t="n"/>
      <c r="Y413" s="61" t="n"/>
    </row>
    <row r="414" ht="14.25" customHeight="1" s="86">
      <c r="E414" s="53" t="inlineStr">
        <is>
          <t>GA</t>
        </is>
      </c>
      <c r="F414" s="53" t="inlineStr">
        <is>
          <t>CHARLTON</t>
        </is>
      </c>
      <c r="G414" s="59" t="n"/>
      <c r="N414" s="59" t="n"/>
      <c r="O414" s="59" t="n"/>
      <c r="X414" s="61" t="n"/>
      <c r="Y414" s="61" t="n"/>
    </row>
    <row r="415" ht="14.25" customHeight="1" s="86">
      <c r="E415" s="53" t="inlineStr">
        <is>
          <t>GA</t>
        </is>
      </c>
      <c r="F415" s="53" t="inlineStr">
        <is>
          <t>CHATHAM</t>
        </is>
      </c>
      <c r="G415" s="59" t="n"/>
      <c r="N415" s="59" t="n"/>
      <c r="O415" s="59" t="n"/>
      <c r="X415" s="61" t="n"/>
      <c r="Y415" s="61" t="n"/>
    </row>
    <row r="416" ht="14.25" customHeight="1" s="86">
      <c r="E416" s="53" t="inlineStr">
        <is>
          <t>GA</t>
        </is>
      </c>
      <c r="F416" s="53" t="inlineStr">
        <is>
          <t>CHATTAHOOCHEE</t>
        </is>
      </c>
      <c r="G416" s="59" t="n"/>
      <c r="N416" s="59" t="n"/>
      <c r="O416" s="59" t="n"/>
      <c r="X416" s="61" t="n"/>
      <c r="Y416" s="61" t="n"/>
    </row>
    <row r="417" ht="14.25" customHeight="1" s="86">
      <c r="E417" s="53" t="inlineStr">
        <is>
          <t>GA</t>
        </is>
      </c>
      <c r="F417" s="53" t="inlineStr">
        <is>
          <t>CHATTOOGA</t>
        </is>
      </c>
      <c r="G417" s="59" t="n"/>
      <c r="N417" s="59" t="n"/>
      <c r="O417" s="59" t="n"/>
      <c r="X417" s="61" t="n"/>
      <c r="Y417" s="61" t="n"/>
    </row>
    <row r="418" ht="14.25" customHeight="1" s="86">
      <c r="E418" s="53" t="inlineStr">
        <is>
          <t>GA</t>
        </is>
      </c>
      <c r="F418" s="53" t="inlineStr">
        <is>
          <t>CHEROKEE</t>
        </is>
      </c>
      <c r="G418" s="59" t="n"/>
      <c r="N418" s="59" t="n"/>
      <c r="O418" s="59" t="n"/>
      <c r="X418" s="61" t="n"/>
      <c r="Y418" s="61" t="n"/>
    </row>
    <row r="419" ht="14.25" customHeight="1" s="86">
      <c r="E419" s="53" t="inlineStr">
        <is>
          <t>GA</t>
        </is>
      </c>
      <c r="F419" s="53" t="inlineStr">
        <is>
          <t>CLARKE</t>
        </is>
      </c>
      <c r="G419" s="59" t="n"/>
      <c r="N419" s="59" t="n"/>
      <c r="O419" s="59" t="n"/>
      <c r="X419" s="61" t="n"/>
      <c r="Y419" s="61" t="n"/>
    </row>
    <row r="420" ht="14.25" customHeight="1" s="86">
      <c r="E420" s="53" t="inlineStr">
        <is>
          <t>GA</t>
        </is>
      </c>
      <c r="F420" s="53" t="inlineStr">
        <is>
          <t>CLAY</t>
        </is>
      </c>
      <c r="G420" s="59" t="n"/>
      <c r="N420" s="59" t="n"/>
      <c r="O420" s="59" t="n"/>
      <c r="X420" s="61" t="n"/>
      <c r="Y420" s="61" t="n"/>
    </row>
    <row r="421" ht="14.25" customHeight="1" s="86">
      <c r="E421" s="53" t="inlineStr">
        <is>
          <t>GA</t>
        </is>
      </c>
      <c r="F421" s="53" t="inlineStr">
        <is>
          <t>CLAYTON</t>
        </is>
      </c>
      <c r="G421" s="59" t="n"/>
      <c r="N421" s="59" t="n"/>
      <c r="O421" s="59" t="n"/>
      <c r="X421" s="61" t="n"/>
      <c r="Y421" s="61" t="n"/>
    </row>
    <row r="422" ht="14.25" customHeight="1" s="86">
      <c r="E422" s="53" t="inlineStr">
        <is>
          <t>GA</t>
        </is>
      </c>
      <c r="F422" s="53" t="inlineStr">
        <is>
          <t>CLINCH</t>
        </is>
      </c>
      <c r="G422" s="59" t="n"/>
      <c r="N422" s="59" t="n"/>
      <c r="O422" s="59" t="n"/>
      <c r="X422" s="61" t="n"/>
      <c r="Y422" s="61" t="n"/>
    </row>
    <row r="423" ht="14.25" customHeight="1" s="86">
      <c r="E423" s="53" t="inlineStr">
        <is>
          <t>GA</t>
        </is>
      </c>
      <c r="F423" s="53" t="inlineStr">
        <is>
          <t>COBB</t>
        </is>
      </c>
      <c r="G423" s="59" t="n"/>
      <c r="N423" s="59" t="n"/>
      <c r="O423" s="59" t="n"/>
      <c r="X423" s="61" t="n"/>
      <c r="Y423" s="61" t="n"/>
    </row>
    <row r="424" ht="14.25" customHeight="1" s="86">
      <c r="E424" s="53" t="inlineStr">
        <is>
          <t>GA</t>
        </is>
      </c>
      <c r="F424" s="53" t="inlineStr">
        <is>
          <t>COFFEE</t>
        </is>
      </c>
      <c r="G424" s="59" t="n"/>
      <c r="N424" s="59" t="n"/>
      <c r="O424" s="59" t="n"/>
      <c r="X424" s="61" t="n"/>
      <c r="Y424" s="61" t="n"/>
    </row>
    <row r="425" ht="14.25" customHeight="1" s="86">
      <c r="E425" s="53" t="inlineStr">
        <is>
          <t>GA</t>
        </is>
      </c>
      <c r="F425" s="53" t="inlineStr">
        <is>
          <t>COLQUITT</t>
        </is>
      </c>
      <c r="G425" s="59" t="n"/>
      <c r="N425" s="59" t="n"/>
      <c r="O425" s="59" t="n"/>
      <c r="X425" s="61" t="n"/>
      <c r="Y425" s="61" t="n"/>
    </row>
    <row r="426" ht="14.25" customHeight="1" s="86">
      <c r="E426" s="53" t="inlineStr">
        <is>
          <t>GA</t>
        </is>
      </c>
      <c r="F426" s="53" t="inlineStr">
        <is>
          <t>COLUMBIA</t>
        </is>
      </c>
      <c r="G426" s="59" t="n"/>
      <c r="N426" s="59" t="n"/>
      <c r="O426" s="59" t="n"/>
      <c r="X426" s="61" t="n"/>
      <c r="Y426" s="61" t="n"/>
    </row>
    <row r="427" ht="14.25" customHeight="1" s="86">
      <c r="E427" s="53" t="inlineStr">
        <is>
          <t>GA</t>
        </is>
      </c>
      <c r="F427" s="53" t="inlineStr">
        <is>
          <t>COOK</t>
        </is>
      </c>
      <c r="G427" s="59" t="n"/>
      <c r="N427" s="59" t="n"/>
      <c r="O427" s="59" t="n"/>
      <c r="X427" s="61" t="n"/>
      <c r="Y427" s="61" t="n"/>
    </row>
    <row r="428" ht="14.25" customHeight="1" s="86">
      <c r="E428" s="53" t="inlineStr">
        <is>
          <t>GA</t>
        </is>
      </c>
      <c r="F428" s="53" t="inlineStr">
        <is>
          <t>COWETA</t>
        </is>
      </c>
      <c r="G428" s="59" t="n"/>
      <c r="N428" s="59" t="n"/>
      <c r="O428" s="59" t="n"/>
      <c r="X428" s="61" t="n"/>
      <c r="Y428" s="61" t="n"/>
    </row>
    <row r="429" ht="14.25" customHeight="1" s="86">
      <c r="E429" s="53" t="inlineStr">
        <is>
          <t>GA</t>
        </is>
      </c>
      <c r="F429" s="53" t="inlineStr">
        <is>
          <t>CRAWFORD</t>
        </is>
      </c>
      <c r="G429" s="59" t="n"/>
      <c r="N429" s="59" t="n"/>
      <c r="O429" s="59" t="n"/>
      <c r="X429" s="61" t="n"/>
      <c r="Y429" s="61" t="n"/>
    </row>
    <row r="430" ht="14.25" customHeight="1" s="86">
      <c r="E430" s="53" t="inlineStr">
        <is>
          <t>GA</t>
        </is>
      </c>
      <c r="F430" s="53" t="inlineStr">
        <is>
          <t>CRISP</t>
        </is>
      </c>
      <c r="G430" s="59" t="n"/>
      <c r="N430" s="59" t="n"/>
      <c r="O430" s="59" t="n"/>
      <c r="X430" s="61" t="n"/>
      <c r="Y430" s="61" t="n"/>
    </row>
    <row r="431" ht="14.25" customHeight="1" s="86">
      <c r="E431" s="53" t="inlineStr">
        <is>
          <t>GA</t>
        </is>
      </c>
      <c r="F431" s="53" t="inlineStr">
        <is>
          <t>DADE</t>
        </is>
      </c>
      <c r="G431" s="59" t="n"/>
      <c r="N431" s="59" t="n"/>
      <c r="O431" s="59" t="n"/>
      <c r="X431" s="61" t="n"/>
      <c r="Y431" s="61" t="n"/>
    </row>
    <row r="432" ht="14.25" customHeight="1" s="86">
      <c r="E432" s="53" t="inlineStr">
        <is>
          <t>GA</t>
        </is>
      </c>
      <c r="F432" s="53" t="inlineStr">
        <is>
          <t>DAWSON</t>
        </is>
      </c>
      <c r="G432" s="59" t="n"/>
      <c r="N432" s="59" t="n"/>
      <c r="O432" s="59" t="n"/>
      <c r="X432" s="61" t="n"/>
      <c r="Y432" s="61" t="n"/>
    </row>
    <row r="433" ht="14.25" customHeight="1" s="86">
      <c r="E433" s="53" t="inlineStr">
        <is>
          <t>GA</t>
        </is>
      </c>
      <c r="F433" s="53" t="inlineStr">
        <is>
          <t>DECATUR</t>
        </is>
      </c>
      <c r="G433" s="59" t="n"/>
      <c r="N433" s="59" t="n"/>
      <c r="O433" s="59" t="n"/>
      <c r="X433" s="61" t="n"/>
      <c r="Y433" s="61" t="n"/>
    </row>
    <row r="434" ht="14.25" customHeight="1" s="86">
      <c r="E434" s="53" t="inlineStr">
        <is>
          <t>GA</t>
        </is>
      </c>
      <c r="F434" s="53" t="inlineStr">
        <is>
          <t>DEKALB</t>
        </is>
      </c>
      <c r="G434" s="59" t="n"/>
      <c r="N434" s="59" t="n"/>
      <c r="O434" s="59" t="n"/>
      <c r="X434" s="61" t="n"/>
      <c r="Y434" s="61" t="n"/>
    </row>
    <row r="435" ht="14.25" customHeight="1" s="86">
      <c r="E435" s="53" t="inlineStr">
        <is>
          <t>GA</t>
        </is>
      </c>
      <c r="F435" s="53" t="inlineStr">
        <is>
          <t>DODGE</t>
        </is>
      </c>
      <c r="G435" s="59" t="n"/>
      <c r="N435" s="59" t="n"/>
      <c r="O435" s="59" t="n"/>
      <c r="X435" s="61" t="n"/>
      <c r="Y435" s="61" t="n"/>
    </row>
    <row r="436" ht="14.25" customHeight="1" s="86">
      <c r="E436" s="53" t="inlineStr">
        <is>
          <t>GA</t>
        </is>
      </c>
      <c r="F436" s="53" t="inlineStr">
        <is>
          <t>DOOLY</t>
        </is>
      </c>
      <c r="G436" s="59" t="n"/>
      <c r="N436" s="59" t="n"/>
      <c r="O436" s="59" t="n"/>
      <c r="X436" s="61" t="n"/>
      <c r="Y436" s="61" t="n"/>
    </row>
    <row r="437" ht="14.25" customHeight="1" s="86">
      <c r="E437" s="53" t="inlineStr">
        <is>
          <t>GA</t>
        </is>
      </c>
      <c r="F437" s="53" t="inlineStr">
        <is>
          <t>DOUGHERTY</t>
        </is>
      </c>
      <c r="G437" s="59" t="n"/>
      <c r="N437" s="59" t="n"/>
      <c r="O437" s="59" t="n"/>
      <c r="X437" s="61" t="n"/>
      <c r="Y437" s="61" t="n"/>
    </row>
    <row r="438" ht="14.25" customHeight="1" s="86">
      <c r="E438" s="53" t="inlineStr">
        <is>
          <t>GA</t>
        </is>
      </c>
      <c r="F438" s="53" t="inlineStr">
        <is>
          <t>DOUGLAS</t>
        </is>
      </c>
      <c r="G438" s="59" t="n"/>
      <c r="N438" s="59" t="n"/>
      <c r="O438" s="59" t="n"/>
      <c r="X438" s="61" t="n"/>
      <c r="Y438" s="61" t="n"/>
    </row>
    <row r="439" ht="14.25" customHeight="1" s="86">
      <c r="E439" s="53" t="inlineStr">
        <is>
          <t>GA</t>
        </is>
      </c>
      <c r="F439" s="53" t="inlineStr">
        <is>
          <t>EARLY</t>
        </is>
      </c>
      <c r="G439" s="59" t="n"/>
      <c r="N439" s="59" t="n"/>
      <c r="O439" s="59" t="n"/>
      <c r="X439" s="61" t="n"/>
      <c r="Y439" s="61" t="n"/>
    </row>
    <row r="440" ht="14.25" customHeight="1" s="86">
      <c r="E440" s="53" t="inlineStr">
        <is>
          <t>GA</t>
        </is>
      </c>
      <c r="F440" s="53" t="inlineStr">
        <is>
          <t>ECHOLS</t>
        </is>
      </c>
      <c r="G440" s="59" t="n"/>
      <c r="N440" s="59" t="n"/>
      <c r="O440" s="59" t="n"/>
      <c r="X440" s="61" t="n"/>
      <c r="Y440" s="61" t="n"/>
    </row>
    <row r="441" ht="14.25" customHeight="1" s="86">
      <c r="E441" s="53" t="inlineStr">
        <is>
          <t>GA</t>
        </is>
      </c>
      <c r="F441" s="53" t="inlineStr">
        <is>
          <t>EFFINGHAM</t>
        </is>
      </c>
      <c r="G441" s="59" t="n"/>
      <c r="N441" s="59" t="n"/>
      <c r="O441" s="59" t="n"/>
      <c r="X441" s="61" t="n"/>
      <c r="Y441" s="61" t="n"/>
    </row>
    <row r="442" ht="14.25" customHeight="1" s="86">
      <c r="E442" s="53" t="inlineStr">
        <is>
          <t>GA</t>
        </is>
      </c>
      <c r="F442" s="53" t="inlineStr">
        <is>
          <t>ELBERT</t>
        </is>
      </c>
      <c r="G442" s="59" t="n"/>
      <c r="N442" s="59" t="n"/>
      <c r="O442" s="59" t="n"/>
      <c r="X442" s="61" t="n"/>
      <c r="Y442" s="61" t="n"/>
    </row>
    <row r="443" ht="14.25" customHeight="1" s="86">
      <c r="E443" s="53" t="inlineStr">
        <is>
          <t>GA</t>
        </is>
      </c>
      <c r="F443" s="53" t="inlineStr">
        <is>
          <t>EMANUEL</t>
        </is>
      </c>
      <c r="G443" s="59" t="n"/>
      <c r="N443" s="59" t="n"/>
      <c r="O443" s="59" t="n"/>
      <c r="X443" s="61" t="n"/>
      <c r="Y443" s="61" t="n"/>
    </row>
    <row r="444" ht="14.25" customHeight="1" s="86">
      <c r="E444" s="53" t="inlineStr">
        <is>
          <t>GA</t>
        </is>
      </c>
      <c r="F444" s="53" t="inlineStr">
        <is>
          <t>EVANS</t>
        </is>
      </c>
      <c r="G444" s="59" t="n"/>
      <c r="N444" s="59" t="n"/>
      <c r="O444" s="59" t="n"/>
      <c r="X444" s="61" t="n"/>
      <c r="Y444" s="61" t="n"/>
    </row>
    <row r="445" ht="14.25" customHeight="1" s="86">
      <c r="E445" s="53" t="inlineStr">
        <is>
          <t>GA</t>
        </is>
      </c>
      <c r="F445" s="53" t="inlineStr">
        <is>
          <t>FANNIN</t>
        </is>
      </c>
      <c r="G445" s="59" t="n"/>
      <c r="N445" s="59" t="n"/>
      <c r="O445" s="59" t="n"/>
      <c r="X445" s="61" t="n"/>
      <c r="Y445" s="61" t="n"/>
    </row>
    <row r="446" ht="14.25" customHeight="1" s="86">
      <c r="E446" s="53" t="inlineStr">
        <is>
          <t>GA</t>
        </is>
      </c>
      <c r="F446" s="53" t="inlineStr">
        <is>
          <t>FAYETTE</t>
        </is>
      </c>
      <c r="G446" s="59" t="n"/>
      <c r="N446" s="59" t="n"/>
      <c r="O446" s="59" t="n"/>
      <c r="X446" s="61" t="n"/>
      <c r="Y446" s="61" t="n"/>
    </row>
    <row r="447" ht="14.25" customHeight="1" s="86">
      <c r="E447" s="53" t="inlineStr">
        <is>
          <t>GA</t>
        </is>
      </c>
      <c r="F447" s="53" t="inlineStr">
        <is>
          <t>FLOYD</t>
        </is>
      </c>
      <c r="G447" s="59" t="n"/>
      <c r="N447" s="59" t="n"/>
      <c r="O447" s="59" t="n"/>
      <c r="X447" s="61" t="n"/>
      <c r="Y447" s="61" t="n"/>
    </row>
    <row r="448" ht="14.25" customHeight="1" s="86">
      <c r="E448" s="53" t="inlineStr">
        <is>
          <t>GA</t>
        </is>
      </c>
      <c r="F448" s="53" t="inlineStr">
        <is>
          <t>FORSYTH</t>
        </is>
      </c>
      <c r="G448" s="59" t="n"/>
      <c r="N448" s="69" t="n"/>
      <c r="O448" s="69" t="n"/>
      <c r="X448" s="61" t="n"/>
      <c r="Y448" s="61" t="n"/>
    </row>
    <row r="449" ht="14.25" customHeight="1" s="86">
      <c r="E449" s="53" t="inlineStr">
        <is>
          <t>GA</t>
        </is>
      </c>
      <c r="F449" s="53" t="inlineStr">
        <is>
          <t>FRANKLIN</t>
        </is>
      </c>
      <c r="G449" s="59" t="n"/>
      <c r="N449" s="69" t="n"/>
      <c r="O449" s="69" t="n"/>
      <c r="X449" s="61" t="n"/>
      <c r="Y449" s="61" t="n"/>
    </row>
    <row r="450" ht="14.25" customHeight="1" s="86">
      <c r="E450" s="53" t="inlineStr">
        <is>
          <t>GA</t>
        </is>
      </c>
      <c r="F450" s="53" t="inlineStr">
        <is>
          <t>FULTON</t>
        </is>
      </c>
      <c r="G450" s="59" t="n"/>
      <c r="N450" s="69" t="n"/>
      <c r="O450" s="69" t="n"/>
      <c r="X450" s="61" t="n"/>
      <c r="Y450" s="61" t="n"/>
    </row>
    <row r="451" ht="14.25" customHeight="1" s="86">
      <c r="E451" s="53" t="inlineStr">
        <is>
          <t>GA</t>
        </is>
      </c>
      <c r="F451" s="53" t="inlineStr">
        <is>
          <t>GILMER</t>
        </is>
      </c>
      <c r="G451" s="59" t="n"/>
      <c r="N451" s="69" t="n"/>
      <c r="O451" s="69" t="n"/>
      <c r="X451" s="61" t="n"/>
      <c r="Y451" s="61" t="n"/>
    </row>
    <row r="452" ht="14.25" customHeight="1" s="86">
      <c r="E452" s="53" t="inlineStr">
        <is>
          <t>GA</t>
        </is>
      </c>
      <c r="F452" s="53" t="inlineStr">
        <is>
          <t>GLASCOCK</t>
        </is>
      </c>
      <c r="G452" s="59" t="n"/>
      <c r="N452" s="69" t="n"/>
      <c r="O452" s="69" t="n"/>
      <c r="X452" s="61" t="n"/>
      <c r="Y452" s="61" t="n"/>
    </row>
    <row r="453" ht="14.25" customHeight="1" s="86">
      <c r="E453" s="53" t="inlineStr">
        <is>
          <t>GA</t>
        </is>
      </c>
      <c r="F453" s="53" t="inlineStr">
        <is>
          <t>GLYNN</t>
        </is>
      </c>
      <c r="G453" s="59" t="n"/>
      <c r="N453" s="59" t="n"/>
      <c r="O453" s="59" t="n"/>
      <c r="X453" s="61" t="n"/>
      <c r="Y453" s="61" t="n"/>
    </row>
    <row r="454" ht="14.25" customHeight="1" s="86">
      <c r="E454" s="53" t="inlineStr">
        <is>
          <t>GA</t>
        </is>
      </c>
      <c r="F454" s="53" t="inlineStr">
        <is>
          <t>GORDON</t>
        </is>
      </c>
      <c r="G454" s="59" t="n"/>
      <c r="N454" s="59" t="n"/>
      <c r="O454" s="59" t="n"/>
      <c r="X454" s="61" t="n"/>
      <c r="Y454" s="61" t="n"/>
    </row>
    <row r="455" ht="14.25" customHeight="1" s="86">
      <c r="E455" s="53" t="inlineStr">
        <is>
          <t>GA</t>
        </is>
      </c>
      <c r="F455" s="53" t="inlineStr">
        <is>
          <t>GRADY</t>
        </is>
      </c>
      <c r="G455" s="59" t="n"/>
      <c r="N455" s="59" t="n"/>
      <c r="O455" s="59" t="n"/>
      <c r="X455" s="61" t="n"/>
      <c r="Y455" s="61" t="n"/>
    </row>
    <row r="456" ht="14.25" customHeight="1" s="86">
      <c r="E456" s="53" t="inlineStr">
        <is>
          <t>GA</t>
        </is>
      </c>
      <c r="F456" s="53" t="inlineStr">
        <is>
          <t>GREENE</t>
        </is>
      </c>
      <c r="G456" s="59" t="n"/>
      <c r="N456" s="59" t="n"/>
      <c r="O456" s="59" t="n"/>
      <c r="X456" s="61" t="n"/>
      <c r="Y456" s="61" t="n"/>
    </row>
    <row r="457" ht="14.25" customHeight="1" s="86">
      <c r="E457" s="53" t="inlineStr">
        <is>
          <t>GA</t>
        </is>
      </c>
      <c r="F457" s="53" t="inlineStr">
        <is>
          <t>GWINNETT</t>
        </is>
      </c>
      <c r="G457" s="59" t="n"/>
      <c r="N457" s="59" t="n"/>
      <c r="O457" s="59" t="n"/>
      <c r="X457" s="61" t="n"/>
      <c r="Y457" s="61" t="n"/>
    </row>
    <row r="458" ht="14.25" customHeight="1" s="86">
      <c r="E458" s="53" t="inlineStr">
        <is>
          <t>GA</t>
        </is>
      </c>
      <c r="F458" s="53" t="inlineStr">
        <is>
          <t>HABERSHAM</t>
        </is>
      </c>
      <c r="G458" s="59" t="n"/>
      <c r="N458" s="59" t="n"/>
      <c r="O458" s="59" t="n"/>
      <c r="X458" s="61" t="n"/>
      <c r="Y458" s="61" t="n"/>
    </row>
    <row r="459" ht="14.25" customHeight="1" s="86">
      <c r="E459" s="53" t="inlineStr">
        <is>
          <t>GA</t>
        </is>
      </c>
      <c r="F459" s="53" t="inlineStr">
        <is>
          <t>HALL</t>
        </is>
      </c>
      <c r="G459" s="59" t="n"/>
      <c r="N459" s="59" t="n"/>
      <c r="O459" s="59" t="n"/>
      <c r="X459" s="61" t="n"/>
      <c r="Y459" s="61" t="n"/>
    </row>
    <row r="460" ht="14.25" customHeight="1" s="86">
      <c r="E460" s="53" t="inlineStr">
        <is>
          <t>GA</t>
        </is>
      </c>
      <c r="F460" s="53" t="inlineStr">
        <is>
          <t>HANCOCK</t>
        </is>
      </c>
      <c r="G460" s="59" t="n"/>
      <c r="N460" s="59" t="n"/>
      <c r="O460" s="59" t="n"/>
      <c r="X460" s="61" t="n"/>
      <c r="Y460" s="61" t="n"/>
    </row>
    <row r="461" ht="14.25" customHeight="1" s="86">
      <c r="E461" s="53" t="inlineStr">
        <is>
          <t>GA</t>
        </is>
      </c>
      <c r="F461" s="53" t="inlineStr">
        <is>
          <t>HARALSON</t>
        </is>
      </c>
      <c r="G461" s="59" t="n"/>
      <c r="N461" s="59" t="n"/>
      <c r="O461" s="59" t="n"/>
      <c r="X461" s="61" t="n"/>
      <c r="Y461" s="61" t="n"/>
    </row>
    <row r="462" ht="14.25" customHeight="1" s="86">
      <c r="E462" s="53" t="inlineStr">
        <is>
          <t>GA</t>
        </is>
      </c>
      <c r="F462" s="53" t="inlineStr">
        <is>
          <t>HARRIS</t>
        </is>
      </c>
      <c r="G462" s="59" t="n"/>
      <c r="N462" s="59" t="n"/>
      <c r="O462" s="59" t="n"/>
      <c r="X462" s="61" t="n"/>
      <c r="Y462" s="61" t="n"/>
    </row>
    <row r="463" ht="14.25" customHeight="1" s="86">
      <c r="E463" s="53" t="inlineStr">
        <is>
          <t>GA</t>
        </is>
      </c>
      <c r="F463" s="53" t="inlineStr">
        <is>
          <t>HART</t>
        </is>
      </c>
      <c r="G463" s="59" t="n"/>
      <c r="N463" s="59" t="n"/>
      <c r="O463" s="59" t="n"/>
      <c r="X463" s="61" t="n"/>
      <c r="Y463" s="61" t="n"/>
    </row>
    <row r="464" ht="14.25" customHeight="1" s="86">
      <c r="E464" s="53" t="inlineStr">
        <is>
          <t>GA</t>
        </is>
      </c>
      <c r="F464" s="53" t="inlineStr">
        <is>
          <t>HEARD</t>
        </is>
      </c>
      <c r="G464" s="59" t="n"/>
      <c r="N464" s="59" t="n"/>
      <c r="O464" s="59" t="n"/>
      <c r="X464" s="61" t="n"/>
      <c r="Y464" s="61" t="n"/>
    </row>
    <row r="465" ht="14.25" customHeight="1" s="86">
      <c r="E465" s="53" t="inlineStr">
        <is>
          <t>GA</t>
        </is>
      </c>
      <c r="F465" s="53" t="inlineStr">
        <is>
          <t>HENRY</t>
        </is>
      </c>
      <c r="G465" s="59" t="n"/>
      <c r="N465" s="59" t="n"/>
      <c r="O465" s="59" t="n"/>
      <c r="X465" s="61" t="n"/>
      <c r="Y465" s="61" t="n"/>
    </row>
    <row r="466" ht="14.25" customHeight="1" s="86">
      <c r="E466" s="53" t="inlineStr">
        <is>
          <t>GA</t>
        </is>
      </c>
      <c r="F466" s="53" t="inlineStr">
        <is>
          <t>HOUSTON</t>
        </is>
      </c>
      <c r="G466" s="59" t="n"/>
      <c r="N466" s="59" t="n"/>
      <c r="O466" s="59" t="n"/>
      <c r="X466" s="61" t="n"/>
      <c r="Y466" s="61" t="n"/>
    </row>
    <row r="467" ht="14.25" customHeight="1" s="86">
      <c r="E467" s="53" t="inlineStr">
        <is>
          <t>GA</t>
        </is>
      </c>
      <c r="F467" s="53" t="inlineStr">
        <is>
          <t>IRWIN</t>
        </is>
      </c>
      <c r="G467" s="59" t="n"/>
      <c r="N467" s="59" t="n"/>
      <c r="O467" s="59" t="n"/>
      <c r="X467" s="61" t="n"/>
      <c r="Y467" s="61" t="n"/>
    </row>
    <row r="468" ht="14.25" customHeight="1" s="86">
      <c r="E468" s="53" t="inlineStr">
        <is>
          <t>GA</t>
        </is>
      </c>
      <c r="F468" s="53" t="inlineStr">
        <is>
          <t>JACKSON</t>
        </is>
      </c>
      <c r="G468" s="59" t="n"/>
      <c r="N468" s="59" t="n"/>
      <c r="O468" s="59" t="n"/>
      <c r="X468" s="61" t="n"/>
      <c r="Y468" s="61" t="n"/>
    </row>
    <row r="469" ht="14.25" customHeight="1" s="86">
      <c r="E469" s="53" t="inlineStr">
        <is>
          <t>GA</t>
        </is>
      </c>
      <c r="F469" s="53" t="inlineStr">
        <is>
          <t>JASPER</t>
        </is>
      </c>
      <c r="G469" s="59" t="n"/>
      <c r="N469" s="59" t="n"/>
      <c r="O469" s="59" t="n"/>
      <c r="X469" s="61" t="n"/>
      <c r="Y469" s="61" t="n"/>
    </row>
    <row r="470" ht="14.25" customHeight="1" s="86">
      <c r="E470" s="53" t="inlineStr">
        <is>
          <t>GA</t>
        </is>
      </c>
      <c r="F470" s="53" t="inlineStr">
        <is>
          <t>JEFF DAVIS</t>
        </is>
      </c>
      <c r="G470" s="59" t="n"/>
      <c r="N470" s="59" t="n"/>
      <c r="O470" s="59" t="n"/>
      <c r="X470" s="61" t="n"/>
      <c r="Y470" s="61" t="n"/>
    </row>
    <row r="471" ht="14.25" customHeight="1" s="86">
      <c r="E471" s="53" t="inlineStr">
        <is>
          <t>GA</t>
        </is>
      </c>
      <c r="F471" s="53" t="inlineStr">
        <is>
          <t>JEFFERSON</t>
        </is>
      </c>
      <c r="G471" s="59" t="n"/>
      <c r="N471" s="59" t="n"/>
      <c r="O471" s="59" t="n"/>
      <c r="X471" s="61" t="n"/>
      <c r="Y471" s="61" t="n"/>
    </row>
    <row r="472" ht="14.25" customHeight="1" s="86">
      <c r="E472" s="53" t="inlineStr">
        <is>
          <t>GA</t>
        </is>
      </c>
      <c r="F472" s="53" t="inlineStr">
        <is>
          <t>JENKINS</t>
        </is>
      </c>
      <c r="G472" s="59" t="n"/>
      <c r="N472" s="59" t="n"/>
      <c r="O472" s="59" t="n"/>
      <c r="X472" s="61" t="n"/>
      <c r="Y472" s="61" t="n"/>
    </row>
    <row r="473" ht="14.25" customHeight="1" s="86">
      <c r="E473" s="53" t="inlineStr">
        <is>
          <t>GA</t>
        </is>
      </c>
      <c r="F473" s="53" t="inlineStr">
        <is>
          <t>JOHNSON</t>
        </is>
      </c>
      <c r="G473" s="59" t="n"/>
      <c r="N473" s="59" t="n"/>
      <c r="O473" s="59" t="n"/>
      <c r="X473" s="61" t="n"/>
      <c r="Y473" s="61" t="n"/>
    </row>
    <row r="474" ht="14.25" customHeight="1" s="86">
      <c r="E474" s="53" t="inlineStr">
        <is>
          <t>GA</t>
        </is>
      </c>
      <c r="F474" s="53" t="inlineStr">
        <is>
          <t>JONES</t>
        </is>
      </c>
      <c r="G474" s="59" t="n"/>
      <c r="N474" s="59" t="n"/>
      <c r="O474" s="59" t="n"/>
      <c r="X474" s="61" t="n"/>
      <c r="Y474" s="61" t="n"/>
    </row>
    <row r="475" ht="14.25" customHeight="1" s="86">
      <c r="E475" s="53" t="inlineStr">
        <is>
          <t>GA</t>
        </is>
      </c>
      <c r="F475" s="53" t="inlineStr">
        <is>
          <t>LAMAR</t>
        </is>
      </c>
      <c r="G475" s="59" t="n"/>
      <c r="N475" s="59" t="n"/>
      <c r="O475" s="59" t="n"/>
      <c r="X475" s="61" t="n"/>
      <c r="Y475" s="61" t="n"/>
    </row>
    <row r="476" ht="14.25" customHeight="1" s="86">
      <c r="E476" s="53" t="inlineStr">
        <is>
          <t>GA</t>
        </is>
      </c>
      <c r="F476" s="53" t="inlineStr">
        <is>
          <t>LANIER</t>
        </is>
      </c>
      <c r="G476" s="59" t="n"/>
      <c r="N476" s="59" t="n"/>
      <c r="O476" s="59" t="n"/>
      <c r="X476" s="61" t="n"/>
      <c r="Y476" s="61" t="n"/>
    </row>
    <row r="477" ht="14.25" customHeight="1" s="86">
      <c r="E477" s="53" t="inlineStr">
        <is>
          <t>GA</t>
        </is>
      </c>
      <c r="F477" s="53" t="inlineStr">
        <is>
          <t>LAURENS</t>
        </is>
      </c>
      <c r="G477" s="59" t="n"/>
      <c r="N477" s="59" t="n"/>
      <c r="O477" s="59" t="n"/>
      <c r="X477" s="61" t="n"/>
      <c r="Y477" s="61" t="n"/>
    </row>
    <row r="478" ht="14.25" customHeight="1" s="86">
      <c r="E478" s="53" t="inlineStr">
        <is>
          <t>GA</t>
        </is>
      </c>
      <c r="F478" s="53" t="inlineStr">
        <is>
          <t>LEE</t>
        </is>
      </c>
      <c r="G478" s="59" t="n"/>
      <c r="N478" s="59" t="n"/>
      <c r="O478" s="59" t="n"/>
      <c r="X478" s="61" t="n"/>
      <c r="Y478" s="61" t="n"/>
    </row>
    <row r="479" ht="14.25" customHeight="1" s="86">
      <c r="E479" s="53" t="inlineStr">
        <is>
          <t>GA</t>
        </is>
      </c>
      <c r="F479" s="53" t="inlineStr">
        <is>
          <t>LIBERTY</t>
        </is>
      </c>
      <c r="G479" s="59" t="n"/>
      <c r="N479" s="59" t="n"/>
      <c r="O479" s="59" t="n"/>
      <c r="X479" s="61" t="n"/>
      <c r="Y479" s="61" t="n"/>
    </row>
    <row r="480" ht="14.25" customHeight="1" s="86">
      <c r="E480" s="53" t="inlineStr">
        <is>
          <t>GA</t>
        </is>
      </c>
      <c r="F480" s="53" t="inlineStr">
        <is>
          <t>LINCOLN</t>
        </is>
      </c>
      <c r="G480" s="59" t="n"/>
      <c r="N480" s="59" t="n"/>
      <c r="O480" s="59" t="n"/>
      <c r="X480" s="61" t="n"/>
      <c r="Y480" s="61" t="n"/>
    </row>
    <row r="481" ht="14.25" customHeight="1" s="86">
      <c r="E481" s="53" t="inlineStr">
        <is>
          <t>GA</t>
        </is>
      </c>
      <c r="F481" s="53" t="inlineStr">
        <is>
          <t>LONG</t>
        </is>
      </c>
      <c r="G481" s="59" t="n"/>
      <c r="N481" s="59" t="n"/>
      <c r="O481" s="59" t="n"/>
      <c r="X481" s="61" t="n"/>
      <c r="Y481" s="61" t="n"/>
    </row>
    <row r="482" ht="14.25" customHeight="1" s="86">
      <c r="E482" s="53" t="inlineStr">
        <is>
          <t>GA</t>
        </is>
      </c>
      <c r="F482" s="53" t="inlineStr">
        <is>
          <t>LOWNDES</t>
        </is>
      </c>
      <c r="G482" s="59" t="n"/>
      <c r="N482" s="59" t="n"/>
      <c r="O482" s="59" t="n"/>
      <c r="X482" s="61" t="n"/>
      <c r="Y482" s="61" t="n"/>
    </row>
    <row r="483" ht="14.25" customHeight="1" s="86">
      <c r="E483" s="53" t="inlineStr">
        <is>
          <t>GA</t>
        </is>
      </c>
      <c r="F483" s="53" t="inlineStr">
        <is>
          <t>LUMPKIN</t>
        </is>
      </c>
      <c r="G483" s="59" t="n"/>
      <c r="N483" s="59" t="n"/>
      <c r="O483" s="59" t="n"/>
      <c r="X483" s="61" t="n"/>
      <c r="Y483" s="61" t="n"/>
    </row>
    <row r="484" ht="14.25" customHeight="1" s="86">
      <c r="E484" s="53" t="inlineStr">
        <is>
          <t>GA</t>
        </is>
      </c>
      <c r="F484" s="53" t="inlineStr">
        <is>
          <t>MACON</t>
        </is>
      </c>
      <c r="G484" s="59" t="n"/>
      <c r="N484" s="59" t="n"/>
      <c r="O484" s="59" t="n"/>
      <c r="X484" s="61" t="n"/>
      <c r="Y484" s="61" t="n"/>
    </row>
    <row r="485" ht="14.25" customHeight="1" s="86">
      <c r="E485" s="53" t="inlineStr">
        <is>
          <t>GA</t>
        </is>
      </c>
      <c r="F485" s="53" t="inlineStr">
        <is>
          <t>MADISON</t>
        </is>
      </c>
      <c r="G485" s="59" t="n"/>
      <c r="N485" s="59" t="n"/>
      <c r="O485" s="59" t="n"/>
      <c r="X485" s="61" t="n"/>
      <c r="Y485" s="61" t="n"/>
    </row>
    <row r="486" ht="14.25" customHeight="1" s="86">
      <c r="E486" s="53" t="inlineStr">
        <is>
          <t>GA</t>
        </is>
      </c>
      <c r="F486" s="53" t="inlineStr">
        <is>
          <t>MARION</t>
        </is>
      </c>
      <c r="G486" s="59" t="n"/>
      <c r="N486" s="59" t="n"/>
      <c r="O486" s="59" t="n"/>
      <c r="X486" s="61" t="n"/>
      <c r="Y486" s="61" t="n"/>
    </row>
    <row r="487" ht="14.25" customHeight="1" s="86">
      <c r="E487" s="53" t="inlineStr">
        <is>
          <t>GA</t>
        </is>
      </c>
      <c r="F487" s="53" t="inlineStr">
        <is>
          <t>MCDUFFIE</t>
        </is>
      </c>
      <c r="G487" s="59" t="n"/>
      <c r="N487" s="59" t="n"/>
      <c r="O487" s="59" t="n"/>
      <c r="X487" s="61" t="n"/>
      <c r="Y487" s="61" t="n"/>
    </row>
    <row r="488" ht="14.25" customHeight="1" s="86">
      <c r="E488" s="53" t="inlineStr">
        <is>
          <t>GA</t>
        </is>
      </c>
      <c r="F488" s="53" t="inlineStr">
        <is>
          <t>MCINTOSH</t>
        </is>
      </c>
      <c r="G488" s="59" t="n"/>
      <c r="N488" s="59" t="n"/>
      <c r="O488" s="59" t="n"/>
      <c r="X488" s="61" t="n"/>
      <c r="Y488" s="61" t="n"/>
    </row>
    <row r="489" ht="14.25" customHeight="1" s="86">
      <c r="E489" s="53" t="inlineStr">
        <is>
          <t>GA</t>
        </is>
      </c>
      <c r="F489" s="53" t="inlineStr">
        <is>
          <t>MERIWETHER</t>
        </is>
      </c>
      <c r="G489" s="59" t="n"/>
      <c r="N489" s="59" t="n"/>
      <c r="O489" s="59" t="n"/>
      <c r="X489" s="61" t="n"/>
      <c r="Y489" s="61" t="n"/>
    </row>
    <row r="490" ht="14.25" customHeight="1" s="86">
      <c r="E490" s="53" t="inlineStr">
        <is>
          <t>GA</t>
        </is>
      </c>
      <c r="F490" s="53" t="inlineStr">
        <is>
          <t>MILLER</t>
        </is>
      </c>
      <c r="G490" s="59" t="n"/>
      <c r="N490" s="59" t="n"/>
      <c r="O490" s="59" t="n"/>
      <c r="X490" s="61" t="n"/>
      <c r="Y490" s="61" t="n"/>
    </row>
    <row r="491" ht="14.25" customHeight="1" s="86">
      <c r="E491" s="53" t="inlineStr">
        <is>
          <t>GA</t>
        </is>
      </c>
      <c r="F491" s="53" t="inlineStr">
        <is>
          <t>MITCHELL</t>
        </is>
      </c>
      <c r="G491" s="59" t="n"/>
      <c r="N491" s="59" t="n"/>
      <c r="O491" s="59" t="n"/>
      <c r="X491" s="61" t="n"/>
      <c r="Y491" s="61" t="n"/>
    </row>
    <row r="492" ht="14.25" customHeight="1" s="86">
      <c r="E492" s="53" t="inlineStr">
        <is>
          <t>GA</t>
        </is>
      </c>
      <c r="F492" s="53" t="inlineStr">
        <is>
          <t>MONROE</t>
        </is>
      </c>
      <c r="G492" s="59" t="n"/>
      <c r="N492" s="59" t="n"/>
      <c r="O492" s="59" t="n"/>
      <c r="X492" s="61" t="n"/>
      <c r="Y492" s="61" t="n"/>
    </row>
    <row r="493" ht="14.25" customHeight="1" s="86">
      <c r="E493" s="53" t="inlineStr">
        <is>
          <t>GA</t>
        </is>
      </c>
      <c r="F493" s="53" t="inlineStr">
        <is>
          <t>MONTGOMERY</t>
        </is>
      </c>
      <c r="G493" s="59" t="n"/>
      <c r="N493" s="59" t="n"/>
      <c r="O493" s="59" t="n"/>
      <c r="X493" s="61" t="n"/>
      <c r="Y493" s="61" t="n"/>
    </row>
    <row r="494" ht="14.25" customHeight="1" s="86">
      <c r="E494" s="53" t="inlineStr">
        <is>
          <t>GA</t>
        </is>
      </c>
      <c r="F494" s="53" t="inlineStr">
        <is>
          <t>MORGAN</t>
        </is>
      </c>
      <c r="G494" s="59" t="n"/>
      <c r="N494" s="59" t="n"/>
      <c r="O494" s="59" t="n"/>
      <c r="X494" s="61" t="n"/>
      <c r="Y494" s="61" t="n"/>
    </row>
    <row r="495" ht="14.25" customHeight="1" s="86">
      <c r="E495" s="53" t="inlineStr">
        <is>
          <t>GA</t>
        </is>
      </c>
      <c r="F495" s="53" t="inlineStr">
        <is>
          <t>MURRAY</t>
        </is>
      </c>
      <c r="G495" s="59" t="n"/>
      <c r="N495" s="59" t="n"/>
      <c r="O495" s="59" t="n"/>
      <c r="X495" s="61" t="n"/>
      <c r="Y495" s="61" t="n"/>
    </row>
    <row r="496" ht="14.25" customHeight="1" s="86">
      <c r="E496" s="53" t="inlineStr">
        <is>
          <t>GA</t>
        </is>
      </c>
      <c r="F496" s="53" t="inlineStr">
        <is>
          <t>MUSCOGEE</t>
        </is>
      </c>
      <c r="G496" s="59" t="n"/>
      <c r="N496" s="59" t="n"/>
      <c r="O496" s="59" t="n"/>
      <c r="X496" s="61" t="n"/>
      <c r="Y496" s="61" t="n"/>
    </row>
    <row r="497" ht="14.25" customHeight="1" s="86">
      <c r="E497" s="53" t="inlineStr">
        <is>
          <t>GA</t>
        </is>
      </c>
      <c r="F497" s="53" t="inlineStr">
        <is>
          <t>NEWTON</t>
        </is>
      </c>
      <c r="G497" s="59" t="n"/>
      <c r="N497" s="59" t="n"/>
      <c r="O497" s="59" t="n"/>
      <c r="X497" s="61" t="n"/>
      <c r="Y497" s="61" t="n"/>
    </row>
    <row r="498" ht="14.25" customHeight="1" s="86">
      <c r="E498" s="53" t="inlineStr">
        <is>
          <t>GA</t>
        </is>
      </c>
      <c r="F498" s="53" t="inlineStr">
        <is>
          <t>OCONEE</t>
        </is>
      </c>
      <c r="G498" s="59" t="n"/>
      <c r="N498" s="59" t="n"/>
      <c r="O498" s="59" t="n"/>
      <c r="X498" s="61" t="n"/>
      <c r="Y498" s="61" t="n"/>
    </row>
    <row r="499" ht="14.25" customHeight="1" s="86">
      <c r="E499" s="53" t="inlineStr">
        <is>
          <t>GA</t>
        </is>
      </c>
      <c r="F499" s="53" t="inlineStr">
        <is>
          <t>OGLETHORPE</t>
        </is>
      </c>
      <c r="G499" s="59" t="n"/>
      <c r="N499" s="59" t="n"/>
      <c r="O499" s="59" t="n"/>
      <c r="X499" s="61" t="n"/>
      <c r="Y499" s="61" t="n"/>
    </row>
    <row r="500" ht="14.25" customHeight="1" s="86">
      <c r="E500" s="53" t="inlineStr">
        <is>
          <t>GA</t>
        </is>
      </c>
      <c r="F500" s="53" t="inlineStr">
        <is>
          <t>PAULDING</t>
        </is>
      </c>
      <c r="G500" s="59" t="n"/>
      <c r="N500" s="59" t="n"/>
      <c r="O500" s="59" t="n"/>
      <c r="X500" s="61" t="n"/>
      <c r="Y500" s="61" t="n"/>
    </row>
    <row r="501" ht="14.25" customHeight="1" s="86">
      <c r="E501" s="53" t="inlineStr">
        <is>
          <t>GA</t>
        </is>
      </c>
      <c r="F501" s="53" t="inlineStr">
        <is>
          <t>PEACH</t>
        </is>
      </c>
      <c r="G501" s="59" t="n"/>
      <c r="N501" s="59" t="n"/>
      <c r="O501" s="59" t="n"/>
      <c r="X501" s="61" t="n"/>
      <c r="Y501" s="61" t="n"/>
    </row>
    <row r="502" ht="14.25" customHeight="1" s="86">
      <c r="E502" s="53" t="inlineStr">
        <is>
          <t>GA</t>
        </is>
      </c>
      <c r="F502" s="53" t="inlineStr">
        <is>
          <t>PICKENS</t>
        </is>
      </c>
      <c r="G502" s="59" t="n"/>
      <c r="N502" s="59" t="n"/>
      <c r="O502" s="59" t="n"/>
      <c r="X502" s="61" t="n"/>
      <c r="Y502" s="61" t="n"/>
    </row>
    <row r="503" ht="14.25" customHeight="1" s="86">
      <c r="E503" s="53" t="inlineStr">
        <is>
          <t>GA</t>
        </is>
      </c>
      <c r="F503" s="53" t="inlineStr">
        <is>
          <t>PIERCE</t>
        </is>
      </c>
      <c r="G503" s="59" t="n"/>
      <c r="N503" s="59" t="n"/>
      <c r="O503" s="59" t="n"/>
      <c r="X503" s="61" t="n"/>
      <c r="Y503" s="61" t="n"/>
    </row>
    <row r="504" ht="14.25" customHeight="1" s="86">
      <c r="E504" s="53" t="inlineStr">
        <is>
          <t>GA</t>
        </is>
      </c>
      <c r="F504" s="53" t="inlineStr">
        <is>
          <t>PIKE</t>
        </is>
      </c>
      <c r="G504" s="59" t="n"/>
      <c r="N504" s="59" t="n"/>
      <c r="O504" s="59" t="n"/>
      <c r="X504" s="61" t="n"/>
      <c r="Y504" s="61" t="n"/>
    </row>
    <row r="505" ht="14.25" customHeight="1" s="86">
      <c r="E505" s="53" t="inlineStr">
        <is>
          <t>GA</t>
        </is>
      </c>
      <c r="F505" s="53" t="inlineStr">
        <is>
          <t>POLK</t>
        </is>
      </c>
      <c r="G505" s="59" t="n"/>
      <c r="N505" s="59" t="n"/>
      <c r="O505" s="59" t="n"/>
      <c r="X505" s="61" t="n"/>
      <c r="Y505" s="61" t="n"/>
    </row>
    <row r="506" ht="14.25" customHeight="1" s="86">
      <c r="E506" s="53" t="inlineStr">
        <is>
          <t>GA</t>
        </is>
      </c>
      <c r="F506" s="53" t="inlineStr">
        <is>
          <t>PULASKI</t>
        </is>
      </c>
      <c r="G506" s="59" t="n"/>
      <c r="N506" s="59" t="n"/>
      <c r="O506" s="59" t="n"/>
      <c r="X506" s="61" t="n"/>
      <c r="Y506" s="61" t="n"/>
    </row>
    <row r="507" ht="14.25" customHeight="1" s="86">
      <c r="E507" s="53" t="inlineStr">
        <is>
          <t>GA</t>
        </is>
      </c>
      <c r="F507" s="53" t="inlineStr">
        <is>
          <t>PUTNAM</t>
        </is>
      </c>
      <c r="G507" s="59" t="n"/>
      <c r="N507" s="59" t="n"/>
      <c r="O507" s="59" t="n"/>
      <c r="X507" s="61" t="n"/>
      <c r="Y507" s="61" t="n"/>
    </row>
    <row r="508" ht="14.25" customHeight="1" s="86">
      <c r="E508" s="53" t="inlineStr">
        <is>
          <t>GA</t>
        </is>
      </c>
      <c r="F508" s="53" t="inlineStr">
        <is>
          <t>QUITMAN</t>
        </is>
      </c>
      <c r="G508" s="59" t="n"/>
      <c r="N508" s="59" t="n"/>
      <c r="O508" s="59" t="n"/>
      <c r="X508" s="61" t="n"/>
      <c r="Y508" s="61" t="n"/>
    </row>
    <row r="509" ht="14.25" customHeight="1" s="86">
      <c r="E509" s="53" t="inlineStr">
        <is>
          <t>GA</t>
        </is>
      </c>
      <c r="F509" s="53" t="inlineStr">
        <is>
          <t>RABUN</t>
        </is>
      </c>
      <c r="G509" s="59" t="n"/>
      <c r="N509" s="59" t="n"/>
      <c r="O509" s="59" t="n"/>
      <c r="X509" s="61" t="n"/>
      <c r="Y509" s="61" t="n"/>
    </row>
    <row r="510" ht="14.25" customHeight="1" s="86">
      <c r="E510" s="53" t="inlineStr">
        <is>
          <t>GA</t>
        </is>
      </c>
      <c r="F510" s="53" t="inlineStr">
        <is>
          <t>RANDOLPH</t>
        </is>
      </c>
      <c r="G510" s="59" t="n"/>
      <c r="N510" s="59" t="n"/>
      <c r="O510" s="59" t="n"/>
      <c r="X510" s="61" t="n"/>
      <c r="Y510" s="61" t="n"/>
    </row>
    <row r="511" ht="14.25" customHeight="1" s="86">
      <c r="E511" s="53" t="inlineStr">
        <is>
          <t>GA</t>
        </is>
      </c>
      <c r="F511" s="53" t="inlineStr">
        <is>
          <t>RICHMOND</t>
        </is>
      </c>
      <c r="G511" s="59" t="n"/>
      <c r="N511" s="59" t="n"/>
      <c r="O511" s="59" t="n"/>
      <c r="X511" s="61" t="n"/>
      <c r="Y511" s="61" t="n"/>
    </row>
    <row r="512" ht="14.25" customHeight="1" s="86">
      <c r="E512" s="53" t="inlineStr">
        <is>
          <t>GA</t>
        </is>
      </c>
      <c r="F512" s="53" t="inlineStr">
        <is>
          <t>ROCKDALE</t>
        </is>
      </c>
      <c r="G512" s="59" t="n"/>
      <c r="N512" s="59" t="n"/>
      <c r="O512" s="59" t="n"/>
      <c r="X512" s="61" t="n"/>
      <c r="Y512" s="61" t="n"/>
    </row>
    <row r="513" ht="14.25" customHeight="1" s="86">
      <c r="E513" s="53" t="inlineStr">
        <is>
          <t>GA</t>
        </is>
      </c>
      <c r="F513" s="53" t="inlineStr">
        <is>
          <t>SCHLEY</t>
        </is>
      </c>
      <c r="G513" s="59" t="n"/>
      <c r="N513" s="59" t="n"/>
      <c r="O513" s="59" t="n"/>
      <c r="X513" s="61" t="n"/>
      <c r="Y513" s="61" t="n"/>
    </row>
    <row r="514" ht="14.25" customHeight="1" s="86">
      <c r="E514" s="53" t="inlineStr">
        <is>
          <t>GA</t>
        </is>
      </c>
      <c r="F514" s="53" t="inlineStr">
        <is>
          <t>SCREVEN</t>
        </is>
      </c>
      <c r="G514" s="59" t="n"/>
      <c r="N514" s="59" t="n"/>
      <c r="O514" s="59" t="n"/>
      <c r="X514" s="61" t="n"/>
      <c r="Y514" s="61" t="n"/>
    </row>
    <row r="515" ht="14.25" customHeight="1" s="86">
      <c r="E515" s="53" t="inlineStr">
        <is>
          <t>GA</t>
        </is>
      </c>
      <c r="F515" s="53" t="inlineStr">
        <is>
          <t>SEMINOLE</t>
        </is>
      </c>
      <c r="G515" s="59" t="n"/>
      <c r="N515" s="59" t="n"/>
      <c r="O515" s="59" t="n"/>
      <c r="X515" s="61" t="n"/>
      <c r="Y515" s="61" t="n"/>
    </row>
    <row r="516" ht="14.25" customHeight="1" s="86">
      <c r="E516" s="53" t="inlineStr">
        <is>
          <t>GA</t>
        </is>
      </c>
      <c r="F516" s="53" t="inlineStr">
        <is>
          <t>SPALDING</t>
        </is>
      </c>
      <c r="G516" s="59" t="n"/>
      <c r="N516" s="59" t="n"/>
      <c r="O516" s="59" t="n"/>
      <c r="X516" s="61" t="n"/>
      <c r="Y516" s="61" t="n"/>
    </row>
    <row r="517" ht="14.25" customHeight="1" s="86">
      <c r="E517" s="53" t="inlineStr">
        <is>
          <t>GA</t>
        </is>
      </c>
      <c r="F517" s="53" t="inlineStr">
        <is>
          <t>STEPHENS</t>
        </is>
      </c>
      <c r="G517" s="59" t="n"/>
      <c r="N517" s="59" t="n"/>
      <c r="O517" s="59" t="n"/>
      <c r="X517" s="61" t="n"/>
      <c r="Y517" s="61" t="n"/>
    </row>
    <row r="518" ht="14.25" customHeight="1" s="86">
      <c r="E518" s="53" t="inlineStr">
        <is>
          <t>GA</t>
        </is>
      </c>
      <c r="F518" s="53" t="inlineStr">
        <is>
          <t>STEWART</t>
        </is>
      </c>
      <c r="G518" s="59" t="n"/>
      <c r="N518" s="59" t="n"/>
      <c r="O518" s="59" t="n"/>
      <c r="X518" s="61" t="n"/>
      <c r="Y518" s="61" t="n"/>
    </row>
    <row r="519" ht="14.25" customHeight="1" s="86">
      <c r="E519" s="53" t="inlineStr">
        <is>
          <t>GA</t>
        </is>
      </c>
      <c r="F519" s="53" t="inlineStr">
        <is>
          <t>SUMTER</t>
        </is>
      </c>
      <c r="G519" s="59" t="n"/>
      <c r="N519" s="59" t="n"/>
      <c r="O519" s="59" t="n"/>
      <c r="X519" s="61" t="n"/>
      <c r="Y519" s="61" t="n"/>
    </row>
    <row r="520" ht="14.25" customHeight="1" s="86">
      <c r="E520" s="53" t="inlineStr">
        <is>
          <t>GA</t>
        </is>
      </c>
      <c r="F520" s="53" t="inlineStr">
        <is>
          <t>TALBOT</t>
        </is>
      </c>
      <c r="G520" s="59" t="n"/>
      <c r="N520" s="59" t="n"/>
      <c r="O520" s="59" t="n"/>
      <c r="X520" s="61" t="n"/>
      <c r="Y520" s="61" t="n"/>
    </row>
    <row r="521" ht="14.25" customHeight="1" s="86">
      <c r="E521" s="53" t="inlineStr">
        <is>
          <t>GA</t>
        </is>
      </c>
      <c r="F521" s="53" t="inlineStr">
        <is>
          <t>TALIAFERRO</t>
        </is>
      </c>
      <c r="G521" s="59" t="n"/>
      <c r="N521" s="59" t="n"/>
      <c r="O521" s="59" t="n"/>
      <c r="X521" s="61" t="n"/>
      <c r="Y521" s="61" t="n"/>
    </row>
    <row r="522" ht="14.25" customHeight="1" s="86">
      <c r="E522" s="53" t="inlineStr">
        <is>
          <t>GA</t>
        </is>
      </c>
      <c r="F522" s="53" t="inlineStr">
        <is>
          <t>TATTNALL</t>
        </is>
      </c>
      <c r="G522" s="59" t="n"/>
      <c r="N522" s="59" t="n"/>
      <c r="O522" s="59" t="n"/>
      <c r="X522" s="61" t="n"/>
      <c r="Y522" s="61" t="n"/>
    </row>
    <row r="523" ht="14.25" customHeight="1" s="86">
      <c r="E523" s="53" t="inlineStr">
        <is>
          <t>GA</t>
        </is>
      </c>
      <c r="F523" s="53" t="inlineStr">
        <is>
          <t>TAYLOR</t>
        </is>
      </c>
      <c r="G523" s="59" t="n"/>
      <c r="N523" s="59" t="n"/>
      <c r="O523" s="59" t="n"/>
      <c r="X523" s="61" t="n"/>
      <c r="Y523" s="61" t="n"/>
    </row>
    <row r="524" ht="14.25" customHeight="1" s="86">
      <c r="E524" s="53" t="inlineStr">
        <is>
          <t>GA</t>
        </is>
      </c>
      <c r="F524" s="53" t="inlineStr">
        <is>
          <t>TELFAIR</t>
        </is>
      </c>
      <c r="G524" s="59" t="n"/>
      <c r="N524" s="59" t="n"/>
      <c r="O524" s="59" t="n"/>
      <c r="X524" s="61" t="n"/>
      <c r="Y524" s="61" t="n"/>
    </row>
    <row r="525" ht="14.25" customHeight="1" s="86">
      <c r="E525" s="53" t="inlineStr">
        <is>
          <t>GA</t>
        </is>
      </c>
      <c r="F525" s="53" t="inlineStr">
        <is>
          <t>TERRELL</t>
        </is>
      </c>
      <c r="G525" s="59" t="n"/>
      <c r="N525" s="59" t="n"/>
      <c r="O525" s="59" t="n"/>
      <c r="X525" s="61" t="n"/>
      <c r="Y525" s="61" t="n"/>
    </row>
    <row r="526" ht="14.25" customHeight="1" s="86">
      <c r="E526" s="53" t="inlineStr">
        <is>
          <t>GA</t>
        </is>
      </c>
      <c r="F526" s="53" t="inlineStr">
        <is>
          <t>THOMAS</t>
        </is>
      </c>
      <c r="G526" s="59" t="n"/>
      <c r="N526" s="59" t="n"/>
      <c r="O526" s="59" t="n"/>
      <c r="X526" s="61" t="n"/>
      <c r="Y526" s="61" t="n"/>
    </row>
    <row r="527" ht="14.25" customHeight="1" s="86">
      <c r="E527" s="53" t="inlineStr">
        <is>
          <t>GA</t>
        </is>
      </c>
      <c r="F527" s="53" t="inlineStr">
        <is>
          <t>TIFT</t>
        </is>
      </c>
      <c r="G527" s="59" t="n"/>
      <c r="N527" s="59" t="n"/>
      <c r="O527" s="59" t="n"/>
      <c r="X527" s="61" t="n"/>
      <c r="Y527" s="61" t="n"/>
    </row>
    <row r="528" ht="14.25" customHeight="1" s="86">
      <c r="E528" s="53" t="inlineStr">
        <is>
          <t>GA</t>
        </is>
      </c>
      <c r="F528" s="53" t="inlineStr">
        <is>
          <t>TOOMBS</t>
        </is>
      </c>
      <c r="G528" s="59" t="n"/>
      <c r="N528" s="59" t="n"/>
      <c r="O528" s="59" t="n"/>
      <c r="X528" s="61" t="n"/>
      <c r="Y528" s="61" t="n"/>
    </row>
    <row r="529" ht="14.25" customHeight="1" s="86">
      <c r="E529" s="53" t="inlineStr">
        <is>
          <t>GA</t>
        </is>
      </c>
      <c r="F529" s="53" t="inlineStr">
        <is>
          <t>TOWNS</t>
        </is>
      </c>
      <c r="G529" s="59" t="n"/>
      <c r="N529" s="59" t="n"/>
      <c r="O529" s="59" t="n"/>
      <c r="X529" s="61" t="n"/>
      <c r="Y529" s="61" t="n"/>
    </row>
    <row r="530" ht="14.25" customHeight="1" s="86">
      <c r="E530" s="53" t="inlineStr">
        <is>
          <t>GA</t>
        </is>
      </c>
      <c r="F530" s="53" t="inlineStr">
        <is>
          <t>TREUTLEN</t>
        </is>
      </c>
      <c r="G530" s="59" t="n"/>
      <c r="N530" s="59" t="n"/>
      <c r="O530" s="59" t="n"/>
      <c r="X530" s="61" t="n"/>
      <c r="Y530" s="61" t="n"/>
    </row>
    <row r="531" ht="14.25" customHeight="1" s="86">
      <c r="E531" s="53" t="inlineStr">
        <is>
          <t>GA</t>
        </is>
      </c>
      <c r="F531" s="53" t="inlineStr">
        <is>
          <t>TROUP</t>
        </is>
      </c>
      <c r="G531" s="59" t="n"/>
      <c r="N531" s="59" t="n"/>
      <c r="O531" s="59" t="n"/>
      <c r="X531" s="61" t="n"/>
      <c r="Y531" s="61" t="n"/>
    </row>
    <row r="532" ht="14.25" customHeight="1" s="86">
      <c r="E532" s="53" t="inlineStr">
        <is>
          <t>GA</t>
        </is>
      </c>
      <c r="F532" s="53" t="inlineStr">
        <is>
          <t>TURNER</t>
        </is>
      </c>
      <c r="G532" s="59" t="n"/>
      <c r="N532" s="59" t="n"/>
      <c r="O532" s="59" t="n"/>
      <c r="X532" s="61" t="n"/>
      <c r="Y532" s="61" t="n"/>
    </row>
    <row r="533" ht="14.25" customHeight="1" s="86">
      <c r="E533" s="53" t="inlineStr">
        <is>
          <t>GA</t>
        </is>
      </c>
      <c r="F533" s="53" t="inlineStr">
        <is>
          <t>TWIGGS</t>
        </is>
      </c>
      <c r="G533" s="59" t="n"/>
      <c r="N533" s="59" t="n"/>
      <c r="O533" s="59" t="n"/>
      <c r="X533" s="61" t="n"/>
      <c r="Y533" s="61" t="n"/>
    </row>
    <row r="534" ht="14.25" customHeight="1" s="86">
      <c r="E534" s="53" t="inlineStr">
        <is>
          <t>GA</t>
        </is>
      </c>
      <c r="F534" s="53" t="inlineStr">
        <is>
          <t>UNION</t>
        </is>
      </c>
      <c r="G534" s="59" t="n"/>
      <c r="N534" s="59" t="n"/>
      <c r="O534" s="59" t="n"/>
      <c r="X534" s="61" t="n"/>
      <c r="Y534" s="61" t="n"/>
    </row>
    <row r="535" ht="14.25" customHeight="1" s="86">
      <c r="E535" s="53" t="inlineStr">
        <is>
          <t>GA</t>
        </is>
      </c>
      <c r="F535" s="53" t="inlineStr">
        <is>
          <t>UPSON</t>
        </is>
      </c>
      <c r="G535" s="59" t="n"/>
      <c r="N535" s="59" t="n"/>
      <c r="O535" s="59" t="n"/>
      <c r="X535" s="61" t="n"/>
      <c r="Y535" s="61" t="n"/>
    </row>
    <row r="536" ht="14.25" customHeight="1" s="86">
      <c r="E536" s="53" t="inlineStr">
        <is>
          <t>GA</t>
        </is>
      </c>
      <c r="F536" s="53" t="inlineStr">
        <is>
          <t>WALKER</t>
        </is>
      </c>
      <c r="G536" s="59" t="n"/>
      <c r="N536" s="59" t="n"/>
      <c r="O536" s="59" t="n"/>
      <c r="X536" s="61" t="n"/>
      <c r="Y536" s="61" t="n"/>
    </row>
    <row r="537" ht="14.25" customHeight="1" s="86">
      <c r="E537" s="53" t="inlineStr">
        <is>
          <t>GA</t>
        </is>
      </c>
      <c r="F537" s="53" t="inlineStr">
        <is>
          <t>WALTON</t>
        </is>
      </c>
      <c r="G537" s="59" t="n"/>
      <c r="N537" s="59" t="n"/>
      <c r="O537" s="59" t="n"/>
      <c r="X537" s="61" t="n"/>
      <c r="Y537" s="61" t="n"/>
    </row>
    <row r="538" ht="14.25" customHeight="1" s="86">
      <c r="E538" s="53" t="inlineStr">
        <is>
          <t>GA</t>
        </is>
      </c>
      <c r="F538" s="53" t="inlineStr">
        <is>
          <t>WARE</t>
        </is>
      </c>
      <c r="G538" s="59" t="n"/>
      <c r="N538" s="59" t="n"/>
      <c r="O538" s="59" t="n"/>
      <c r="X538" s="61" t="n"/>
      <c r="Y538" s="61" t="n"/>
    </row>
    <row r="539" ht="14.25" customHeight="1" s="86">
      <c r="E539" s="53" t="inlineStr">
        <is>
          <t>GA</t>
        </is>
      </c>
      <c r="F539" s="53" t="inlineStr">
        <is>
          <t>WARREN</t>
        </is>
      </c>
      <c r="G539" s="59" t="n"/>
      <c r="N539" s="59" t="n"/>
      <c r="O539" s="59" t="n"/>
      <c r="X539" s="61" t="n"/>
      <c r="Y539" s="61" t="n"/>
    </row>
    <row r="540" ht="14.25" customHeight="1" s="86">
      <c r="E540" s="53" t="inlineStr">
        <is>
          <t>GA</t>
        </is>
      </c>
      <c r="F540" s="53" t="inlineStr">
        <is>
          <t>WASHINGTON</t>
        </is>
      </c>
      <c r="G540" s="59" t="n"/>
      <c r="N540" s="59" t="n"/>
      <c r="O540" s="59" t="n"/>
      <c r="X540" s="61" t="n"/>
      <c r="Y540" s="61" t="n"/>
    </row>
    <row r="541" ht="14.25" customHeight="1" s="86">
      <c r="E541" s="53" t="inlineStr">
        <is>
          <t>GA</t>
        </is>
      </c>
      <c r="F541" s="53" t="inlineStr">
        <is>
          <t>WAYNE</t>
        </is>
      </c>
      <c r="G541" s="59" t="n"/>
      <c r="N541" s="59" t="n"/>
      <c r="O541" s="59" t="n"/>
      <c r="X541" s="61" t="n"/>
      <c r="Y541" s="61" t="n"/>
    </row>
    <row r="542" ht="14.25" customHeight="1" s="86">
      <c r="E542" s="53" t="inlineStr">
        <is>
          <t>GA</t>
        </is>
      </c>
      <c r="F542" s="53" t="inlineStr">
        <is>
          <t>WEBSTER</t>
        </is>
      </c>
      <c r="G542" s="59" t="n"/>
      <c r="N542" s="59" t="n"/>
      <c r="O542" s="59" t="n"/>
      <c r="X542" s="61" t="n"/>
      <c r="Y542" s="61" t="n"/>
    </row>
    <row r="543" ht="14.25" customHeight="1" s="86">
      <c r="E543" s="53" t="inlineStr">
        <is>
          <t>GA</t>
        </is>
      </c>
      <c r="F543" s="53" t="inlineStr">
        <is>
          <t>WHEELER</t>
        </is>
      </c>
      <c r="G543" s="59" t="n"/>
      <c r="N543" s="59" t="n"/>
      <c r="O543" s="59" t="n"/>
      <c r="X543" s="61" t="n"/>
      <c r="Y543" s="61" t="n"/>
    </row>
    <row r="544" ht="14.25" customHeight="1" s="86">
      <c r="E544" s="53" t="inlineStr">
        <is>
          <t>GA</t>
        </is>
      </c>
      <c r="F544" s="53" t="inlineStr">
        <is>
          <t>WHITE</t>
        </is>
      </c>
      <c r="G544" s="59" t="n"/>
      <c r="N544" s="59" t="n"/>
      <c r="O544" s="59" t="n"/>
      <c r="X544" s="61" t="n"/>
      <c r="Y544" s="61" t="n"/>
    </row>
    <row r="545" ht="14.25" customHeight="1" s="86">
      <c r="E545" s="53" t="inlineStr">
        <is>
          <t>GA</t>
        </is>
      </c>
      <c r="F545" s="53" t="inlineStr">
        <is>
          <t>WHITFIELD</t>
        </is>
      </c>
      <c r="G545" s="59" t="n"/>
      <c r="N545" s="59" t="n"/>
      <c r="O545" s="59" t="n"/>
      <c r="X545" s="61" t="n"/>
      <c r="Y545" s="61" t="n"/>
    </row>
    <row r="546" ht="14.25" customHeight="1" s="86">
      <c r="E546" s="53" t="inlineStr">
        <is>
          <t>GA</t>
        </is>
      </c>
      <c r="F546" s="53" t="inlineStr">
        <is>
          <t>WILCOX</t>
        </is>
      </c>
      <c r="G546" s="69" t="n"/>
      <c r="N546" s="59" t="n"/>
      <c r="O546" s="59" t="n"/>
      <c r="X546" s="61" t="n"/>
      <c r="Y546" s="61" t="n"/>
    </row>
    <row r="547" ht="14.25" customHeight="1" s="86">
      <c r="E547" s="53" t="inlineStr">
        <is>
          <t>GA</t>
        </is>
      </c>
      <c r="F547" s="53" t="inlineStr">
        <is>
          <t>WILKES</t>
        </is>
      </c>
      <c r="G547" s="69" t="n"/>
      <c r="N547" s="59" t="n"/>
      <c r="O547" s="59" t="n"/>
      <c r="X547" s="61" t="n"/>
      <c r="Y547" s="61" t="n"/>
    </row>
    <row r="548" ht="14.25" customHeight="1" s="86">
      <c r="E548" s="53" t="inlineStr">
        <is>
          <t>GA</t>
        </is>
      </c>
      <c r="F548" s="53" t="inlineStr">
        <is>
          <t>WILKINSON</t>
        </is>
      </c>
      <c r="G548" s="69" t="n"/>
      <c r="N548" s="59" t="n"/>
      <c r="O548" s="59" t="n"/>
      <c r="X548" s="61" t="n"/>
      <c r="Y548" s="61" t="n"/>
    </row>
    <row r="549" ht="14.25" customHeight="1" s="86">
      <c r="E549" s="53" t="inlineStr">
        <is>
          <t>GA</t>
        </is>
      </c>
      <c r="F549" s="53" t="inlineStr">
        <is>
          <t>WORTH</t>
        </is>
      </c>
      <c r="G549" s="69" t="n"/>
      <c r="N549" s="59" t="n"/>
      <c r="O549" s="59" t="n"/>
      <c r="X549" s="61" t="n"/>
      <c r="Y549" s="61" t="n"/>
    </row>
    <row r="550" ht="14.25" customHeight="1" s="86">
      <c r="E550" s="53" t="inlineStr">
        <is>
          <t>GU</t>
        </is>
      </c>
      <c r="F550" s="53" t="inlineStr">
        <is>
          <t>GUAM</t>
        </is>
      </c>
      <c r="G550" s="69" t="n"/>
      <c r="N550" s="59" t="n"/>
      <c r="O550" s="59" t="n"/>
      <c r="X550" s="61" t="n"/>
      <c r="Y550" s="61" t="n"/>
    </row>
    <row r="551" ht="14.25" customHeight="1" s="86">
      <c r="E551" s="53" t="inlineStr">
        <is>
          <t>HI</t>
        </is>
      </c>
      <c r="F551" s="53" t="inlineStr">
        <is>
          <t>HAWAII</t>
        </is>
      </c>
      <c r="G551" s="59" t="n"/>
      <c r="N551" s="59" t="n"/>
      <c r="O551" s="59" t="n"/>
      <c r="X551" s="61" t="n"/>
      <c r="Y551" s="61" t="n"/>
    </row>
    <row r="552" ht="14.25" customHeight="1" s="86">
      <c r="E552" s="53" t="inlineStr">
        <is>
          <t>HI</t>
        </is>
      </c>
      <c r="F552" s="53" t="inlineStr">
        <is>
          <t>HONOLULU</t>
        </is>
      </c>
      <c r="G552" s="59" t="n"/>
      <c r="N552" s="59" t="n"/>
      <c r="O552" s="59" t="n"/>
      <c r="X552" s="61" t="n"/>
      <c r="Y552" s="61" t="n"/>
    </row>
    <row r="553" ht="14.25" customHeight="1" s="86">
      <c r="E553" s="53" t="inlineStr">
        <is>
          <t>HI</t>
        </is>
      </c>
      <c r="F553" s="53" t="inlineStr">
        <is>
          <t>KALAWAO</t>
        </is>
      </c>
      <c r="G553" s="59" t="n"/>
      <c r="N553" s="59" t="n"/>
      <c r="O553" s="59" t="n"/>
      <c r="X553" s="61" t="n"/>
      <c r="Y553" s="61" t="n"/>
    </row>
    <row r="554" ht="14.25" customHeight="1" s="86">
      <c r="E554" s="53" t="inlineStr">
        <is>
          <t>HI</t>
        </is>
      </c>
      <c r="F554" s="53" t="inlineStr">
        <is>
          <t>KAUAI</t>
        </is>
      </c>
      <c r="G554" s="59" t="n"/>
      <c r="N554" s="59" t="n"/>
      <c r="O554" s="59" t="n"/>
      <c r="X554" s="61" t="n"/>
      <c r="Y554" s="61" t="n"/>
    </row>
    <row r="555" ht="14.25" customHeight="1" s="86">
      <c r="E555" s="53" t="inlineStr">
        <is>
          <t>HI</t>
        </is>
      </c>
      <c r="F555" s="53" t="inlineStr">
        <is>
          <t>MAUI</t>
        </is>
      </c>
      <c r="G555" s="59" t="n"/>
      <c r="N555" s="59" t="n"/>
      <c r="O555" s="59" t="n"/>
      <c r="X555" s="61" t="n"/>
      <c r="Y555" s="61" t="n"/>
    </row>
    <row r="556" ht="14.25" customHeight="1" s="86">
      <c r="E556" s="53" t="inlineStr">
        <is>
          <t>IA</t>
        </is>
      </c>
      <c r="F556" s="53" t="inlineStr">
        <is>
          <t>ADAIR</t>
        </is>
      </c>
      <c r="G556" s="59" t="n"/>
      <c r="N556" s="59" t="n"/>
      <c r="O556" s="59" t="n"/>
      <c r="X556" s="61" t="n"/>
      <c r="Y556" s="61" t="n"/>
    </row>
    <row r="557" ht="14.25" customHeight="1" s="86">
      <c r="E557" s="53" t="inlineStr">
        <is>
          <t>IA</t>
        </is>
      </c>
      <c r="F557" s="53" t="inlineStr">
        <is>
          <t>ADAMS</t>
        </is>
      </c>
      <c r="G557" s="59" t="n"/>
      <c r="N557" s="59" t="n"/>
      <c r="O557" s="59" t="n"/>
      <c r="X557" s="61" t="n"/>
      <c r="Y557" s="61" t="n"/>
    </row>
    <row r="558" ht="14.25" customHeight="1" s="86">
      <c r="E558" s="53" t="inlineStr">
        <is>
          <t>IA</t>
        </is>
      </c>
      <c r="F558" s="53" t="inlineStr">
        <is>
          <t>ALLAMAKEE</t>
        </is>
      </c>
      <c r="G558" s="59" t="n"/>
      <c r="N558" s="59" t="n"/>
      <c r="O558" s="59" t="n"/>
      <c r="X558" s="61" t="n"/>
      <c r="Y558" s="61" t="n"/>
    </row>
    <row r="559" ht="14.25" customHeight="1" s="86">
      <c r="E559" s="53" t="inlineStr">
        <is>
          <t>IA</t>
        </is>
      </c>
      <c r="F559" s="53" t="inlineStr">
        <is>
          <t>APPANOOSE</t>
        </is>
      </c>
      <c r="G559" s="59" t="n"/>
      <c r="N559" s="59" t="n"/>
      <c r="O559" s="59" t="n"/>
      <c r="X559" s="61" t="n"/>
      <c r="Y559" s="61" t="n"/>
    </row>
    <row r="560" ht="14.25" customHeight="1" s="86">
      <c r="E560" s="53" t="inlineStr">
        <is>
          <t>IA</t>
        </is>
      </c>
      <c r="F560" s="53" t="inlineStr">
        <is>
          <t>AUDUBON</t>
        </is>
      </c>
      <c r="G560" s="59" t="n"/>
      <c r="N560" s="59" t="n"/>
      <c r="O560" s="59" t="n"/>
      <c r="X560" s="61" t="n"/>
      <c r="Y560" s="61" t="n"/>
    </row>
    <row r="561" ht="14.25" customHeight="1" s="86">
      <c r="E561" s="53" t="inlineStr">
        <is>
          <t>IA</t>
        </is>
      </c>
      <c r="F561" s="53" t="inlineStr">
        <is>
          <t>BENTON</t>
        </is>
      </c>
      <c r="G561" s="59" t="n"/>
      <c r="N561" s="59" t="n"/>
      <c r="O561" s="59" t="n"/>
      <c r="X561" s="61" t="n"/>
      <c r="Y561" s="61" t="n"/>
    </row>
    <row r="562" ht="14.25" customHeight="1" s="86">
      <c r="E562" s="53" t="inlineStr">
        <is>
          <t>IA</t>
        </is>
      </c>
      <c r="F562" s="53" t="inlineStr">
        <is>
          <t>BLACK HAWK</t>
        </is>
      </c>
      <c r="G562" s="59" t="n"/>
      <c r="N562" s="59" t="n"/>
      <c r="O562" s="59" t="n"/>
      <c r="X562" s="61" t="n"/>
      <c r="Y562" s="61" t="n"/>
    </row>
    <row r="563" ht="14.25" customHeight="1" s="86">
      <c r="E563" s="53" t="inlineStr">
        <is>
          <t>IA</t>
        </is>
      </c>
      <c r="F563" s="53" t="inlineStr">
        <is>
          <t>BOONE</t>
        </is>
      </c>
      <c r="G563" s="59" t="n"/>
      <c r="N563" s="59" t="n"/>
      <c r="O563" s="59" t="n"/>
      <c r="X563" s="61" t="n"/>
      <c r="Y563" s="61" t="n"/>
    </row>
    <row r="564" ht="14.25" customHeight="1" s="86">
      <c r="E564" s="53" t="inlineStr">
        <is>
          <t>IA</t>
        </is>
      </c>
      <c r="F564" s="53" t="inlineStr">
        <is>
          <t>BREMER</t>
        </is>
      </c>
      <c r="G564" s="59" t="n"/>
      <c r="N564" s="59" t="n"/>
      <c r="O564" s="59" t="n"/>
      <c r="X564" s="61" t="n"/>
      <c r="Y564" s="61" t="n"/>
    </row>
    <row r="565" ht="14.25" customHeight="1" s="86">
      <c r="E565" s="53" t="inlineStr">
        <is>
          <t>IA</t>
        </is>
      </c>
      <c r="F565" s="53" t="inlineStr">
        <is>
          <t>BUCHANAN</t>
        </is>
      </c>
      <c r="G565" s="59" t="n"/>
      <c r="N565" s="59" t="n"/>
      <c r="O565" s="59" t="n"/>
      <c r="X565" s="61" t="n"/>
      <c r="Y565" s="61" t="n"/>
    </row>
    <row r="566" ht="14.25" customHeight="1" s="86">
      <c r="E566" s="53" t="inlineStr">
        <is>
          <t>IA</t>
        </is>
      </c>
      <c r="F566" s="53" t="inlineStr">
        <is>
          <t>BUENA VISTA</t>
        </is>
      </c>
      <c r="G566" s="59" t="n"/>
      <c r="N566" s="59" t="n"/>
      <c r="O566" s="59" t="n"/>
      <c r="X566" s="61" t="n"/>
      <c r="Y566" s="61" t="n"/>
    </row>
    <row r="567" ht="14.25" customHeight="1" s="86">
      <c r="E567" s="53" t="inlineStr">
        <is>
          <t>IA</t>
        </is>
      </c>
      <c r="F567" s="53" t="inlineStr">
        <is>
          <t>BUTLER</t>
        </is>
      </c>
      <c r="G567" s="59" t="n"/>
      <c r="N567" s="59" t="n"/>
      <c r="O567" s="59" t="n"/>
      <c r="X567" s="61" t="n"/>
      <c r="Y567" s="61" t="n"/>
    </row>
    <row r="568" ht="14.25" customHeight="1" s="86">
      <c r="E568" s="53" t="inlineStr">
        <is>
          <t>IA</t>
        </is>
      </c>
      <c r="F568" s="53" t="inlineStr">
        <is>
          <t>CALHOUN</t>
        </is>
      </c>
      <c r="G568" s="59" t="n"/>
      <c r="N568" s="59" t="n"/>
      <c r="O568" s="59" t="n"/>
      <c r="X568" s="61" t="n"/>
      <c r="Y568" s="61" t="n"/>
    </row>
    <row r="569" ht="14.25" customHeight="1" s="86">
      <c r="E569" s="53" t="inlineStr">
        <is>
          <t>IA</t>
        </is>
      </c>
      <c r="F569" s="53" t="inlineStr">
        <is>
          <t>CARROLL</t>
        </is>
      </c>
      <c r="G569" s="59" t="n"/>
      <c r="N569" s="59" t="n"/>
      <c r="O569" s="59" t="n"/>
      <c r="X569" s="61" t="n"/>
      <c r="Y569" s="61" t="n"/>
    </row>
    <row r="570" ht="14.25" customHeight="1" s="86">
      <c r="E570" s="53" t="inlineStr">
        <is>
          <t>IA</t>
        </is>
      </c>
      <c r="F570" s="53" t="inlineStr">
        <is>
          <t>CASS</t>
        </is>
      </c>
      <c r="G570" s="59" t="n"/>
      <c r="N570" s="59" t="n"/>
      <c r="O570" s="59" t="n"/>
      <c r="X570" s="61" t="n"/>
      <c r="Y570" s="61" t="n"/>
    </row>
    <row r="571" ht="14.25" customHeight="1" s="86">
      <c r="E571" s="53" t="inlineStr">
        <is>
          <t>IA</t>
        </is>
      </c>
      <c r="F571" s="53" t="inlineStr">
        <is>
          <t>CEDAR</t>
        </is>
      </c>
      <c r="G571" s="59" t="n"/>
      <c r="N571" s="59" t="n"/>
      <c r="O571" s="59" t="n"/>
      <c r="X571" s="61" t="n"/>
      <c r="Y571" s="61" t="n"/>
    </row>
    <row r="572" ht="14.25" customHeight="1" s="86">
      <c r="E572" s="53" t="inlineStr">
        <is>
          <t>IA</t>
        </is>
      </c>
      <c r="F572" s="53" t="inlineStr">
        <is>
          <t>CERRO GORDO</t>
        </is>
      </c>
      <c r="G572" s="59" t="n"/>
      <c r="N572" s="59" t="n"/>
      <c r="O572" s="59" t="n"/>
      <c r="X572" s="61" t="n"/>
      <c r="Y572" s="61" t="n"/>
    </row>
    <row r="573" ht="14.25" customHeight="1" s="86">
      <c r="E573" s="53" t="inlineStr">
        <is>
          <t>IA</t>
        </is>
      </c>
      <c r="F573" s="53" t="inlineStr">
        <is>
          <t>CHEROKEE</t>
        </is>
      </c>
      <c r="G573" s="59" t="n"/>
      <c r="N573" s="59" t="n"/>
      <c r="O573" s="59" t="n"/>
      <c r="X573" s="61" t="n"/>
      <c r="Y573" s="61" t="n"/>
    </row>
    <row r="574" ht="14.25" customHeight="1" s="86">
      <c r="E574" s="53" t="inlineStr">
        <is>
          <t>IA</t>
        </is>
      </c>
      <c r="F574" s="53" t="inlineStr">
        <is>
          <t>CHICKASAW</t>
        </is>
      </c>
      <c r="G574" s="59" t="n"/>
      <c r="N574" s="59" t="n"/>
      <c r="O574" s="59" t="n"/>
      <c r="X574" s="61" t="n"/>
      <c r="Y574" s="61" t="n"/>
    </row>
    <row r="575" ht="14.25" customHeight="1" s="86">
      <c r="E575" s="53" t="inlineStr">
        <is>
          <t>IA</t>
        </is>
      </c>
      <c r="F575" s="53" t="inlineStr">
        <is>
          <t>CLARKE</t>
        </is>
      </c>
      <c r="G575" s="59" t="n"/>
      <c r="N575" s="59" t="n"/>
      <c r="O575" s="59" t="n"/>
      <c r="X575" s="61" t="n"/>
      <c r="Y575" s="61" t="n"/>
    </row>
    <row r="576" ht="14.25" customHeight="1" s="86">
      <c r="E576" s="53" t="inlineStr">
        <is>
          <t>IA</t>
        </is>
      </c>
      <c r="F576" s="53" t="inlineStr">
        <is>
          <t>CLAY</t>
        </is>
      </c>
      <c r="G576" s="59" t="n"/>
      <c r="N576" s="59" t="n"/>
      <c r="O576" s="59" t="n"/>
      <c r="X576" s="61" t="n"/>
      <c r="Y576" s="61" t="n"/>
    </row>
    <row r="577" ht="14.25" customHeight="1" s="86">
      <c r="E577" s="53" t="inlineStr">
        <is>
          <t>IA</t>
        </is>
      </c>
      <c r="F577" s="53" t="inlineStr">
        <is>
          <t>CLAYTON</t>
        </is>
      </c>
      <c r="G577" s="59" t="n"/>
      <c r="N577" s="59" t="n"/>
      <c r="O577" s="59" t="n"/>
      <c r="X577" s="61" t="n"/>
      <c r="Y577" s="61" t="n"/>
    </row>
    <row r="578" ht="14.25" customHeight="1" s="86">
      <c r="E578" s="53" t="inlineStr">
        <is>
          <t>IA</t>
        </is>
      </c>
      <c r="F578" s="53" t="inlineStr">
        <is>
          <t>CLINTON</t>
        </is>
      </c>
      <c r="G578" s="59" t="n"/>
      <c r="N578" s="59" t="n"/>
      <c r="O578" s="59" t="n"/>
      <c r="X578" s="61" t="n"/>
      <c r="Y578" s="61" t="n"/>
    </row>
    <row r="579" ht="14.25" customHeight="1" s="86">
      <c r="E579" s="53" t="inlineStr">
        <is>
          <t>IA</t>
        </is>
      </c>
      <c r="F579" s="53" t="inlineStr">
        <is>
          <t>CRAWFORD</t>
        </is>
      </c>
      <c r="G579" s="59" t="n"/>
      <c r="N579" s="59" t="n"/>
      <c r="O579" s="59" t="n"/>
      <c r="X579" s="61" t="n"/>
      <c r="Y579" s="61" t="n"/>
    </row>
    <row r="580" ht="14.25" customHeight="1" s="86">
      <c r="E580" s="53" t="inlineStr">
        <is>
          <t>IA</t>
        </is>
      </c>
      <c r="F580" s="53" t="inlineStr">
        <is>
          <t>DALLAS</t>
        </is>
      </c>
      <c r="G580" s="59" t="n"/>
      <c r="N580" s="59" t="n"/>
      <c r="O580" s="59" t="n"/>
      <c r="X580" s="61" t="n"/>
      <c r="Y580" s="61" t="n"/>
    </row>
    <row r="581" ht="14.25" customHeight="1" s="86">
      <c r="E581" s="53" t="inlineStr">
        <is>
          <t>IA</t>
        </is>
      </c>
      <c r="F581" s="53" t="inlineStr">
        <is>
          <t>DAVIS</t>
        </is>
      </c>
      <c r="G581" s="59" t="n"/>
      <c r="N581" s="59" t="n"/>
      <c r="O581" s="59" t="n"/>
      <c r="X581" s="61" t="n"/>
      <c r="Y581" s="61" t="n"/>
    </row>
    <row r="582" ht="14.25" customHeight="1" s="86">
      <c r="E582" s="53" t="inlineStr">
        <is>
          <t>IA</t>
        </is>
      </c>
      <c r="F582" s="53" t="inlineStr">
        <is>
          <t>DECATUR</t>
        </is>
      </c>
      <c r="G582" s="59" t="n"/>
      <c r="N582" s="59" t="n"/>
      <c r="O582" s="59" t="n"/>
      <c r="X582" s="61" t="n"/>
      <c r="Y582" s="61" t="n"/>
    </row>
    <row r="583" ht="14.25" customHeight="1" s="86">
      <c r="E583" s="53" t="inlineStr">
        <is>
          <t>IA</t>
        </is>
      </c>
      <c r="F583" s="53" t="inlineStr">
        <is>
          <t>DELAWARE</t>
        </is>
      </c>
      <c r="G583" s="59" t="n"/>
      <c r="N583" s="59" t="n"/>
      <c r="O583" s="59" t="n"/>
      <c r="X583" s="61" t="n"/>
      <c r="Y583" s="61" t="n"/>
    </row>
    <row r="584" ht="14.25" customHeight="1" s="86">
      <c r="E584" s="53" t="inlineStr">
        <is>
          <t>IA</t>
        </is>
      </c>
      <c r="F584" s="53" t="inlineStr">
        <is>
          <t>DES MOINES</t>
        </is>
      </c>
      <c r="G584" s="59" t="n"/>
      <c r="N584" s="59" t="n"/>
      <c r="O584" s="59" t="n"/>
      <c r="X584" s="61" t="n"/>
      <c r="Y584" s="61" t="n"/>
    </row>
    <row r="585" ht="14.25" customHeight="1" s="86">
      <c r="E585" s="53" t="inlineStr">
        <is>
          <t>IA</t>
        </is>
      </c>
      <c r="F585" s="53" t="inlineStr">
        <is>
          <t>DICKINSON</t>
        </is>
      </c>
      <c r="G585" s="59" t="n"/>
      <c r="N585" s="59" t="n"/>
      <c r="O585" s="59" t="n"/>
      <c r="X585" s="61" t="n"/>
      <c r="Y585" s="61" t="n"/>
    </row>
    <row r="586" ht="14.25" customHeight="1" s="86">
      <c r="E586" s="53" t="inlineStr">
        <is>
          <t>IA</t>
        </is>
      </c>
      <c r="F586" s="53" t="inlineStr">
        <is>
          <t>DUBUQUE</t>
        </is>
      </c>
      <c r="G586" s="59" t="n"/>
      <c r="N586" s="59" t="n"/>
      <c r="O586" s="59" t="n"/>
      <c r="X586" s="61" t="n"/>
      <c r="Y586" s="61" t="n"/>
    </row>
    <row r="587" ht="14.25" customHeight="1" s="86">
      <c r="E587" s="53" t="inlineStr">
        <is>
          <t>IA</t>
        </is>
      </c>
      <c r="F587" s="53" t="inlineStr">
        <is>
          <t>EMMET</t>
        </is>
      </c>
      <c r="G587" s="59" t="n"/>
      <c r="N587" s="59" t="n"/>
      <c r="O587" s="59" t="n"/>
      <c r="X587" s="61" t="n"/>
      <c r="Y587" s="61" t="n"/>
    </row>
    <row r="588" ht="14.25" customHeight="1" s="86">
      <c r="E588" s="53" t="inlineStr">
        <is>
          <t>IA</t>
        </is>
      </c>
      <c r="F588" s="53" t="inlineStr">
        <is>
          <t>FAYETTE</t>
        </is>
      </c>
      <c r="G588" s="59" t="n"/>
      <c r="N588" s="59" t="n"/>
      <c r="O588" s="59" t="n"/>
      <c r="X588" s="61" t="n"/>
      <c r="Y588" s="61" t="n"/>
    </row>
    <row r="589" ht="14.25" customHeight="1" s="86">
      <c r="E589" s="53" t="inlineStr">
        <is>
          <t>IA</t>
        </is>
      </c>
      <c r="F589" s="53" t="inlineStr">
        <is>
          <t>FLOYD</t>
        </is>
      </c>
      <c r="G589" s="59" t="n"/>
      <c r="N589" s="59" t="n"/>
      <c r="O589" s="59" t="n"/>
      <c r="X589" s="61" t="n"/>
      <c r="Y589" s="61" t="n"/>
    </row>
    <row r="590" ht="14.25" customHeight="1" s="86">
      <c r="E590" s="53" t="inlineStr">
        <is>
          <t>IA</t>
        </is>
      </c>
      <c r="F590" s="53" t="inlineStr">
        <is>
          <t>FRANKLIN</t>
        </is>
      </c>
      <c r="G590" s="59" t="n"/>
      <c r="N590" s="59" t="n"/>
      <c r="O590" s="59" t="n"/>
      <c r="X590" s="61" t="n"/>
      <c r="Y590" s="61" t="n"/>
    </row>
    <row r="591" ht="14.25" customHeight="1" s="86">
      <c r="E591" s="53" t="inlineStr">
        <is>
          <t>IA</t>
        </is>
      </c>
      <c r="F591" s="53" t="inlineStr">
        <is>
          <t>FREMONT</t>
        </is>
      </c>
      <c r="G591" s="59" t="n"/>
      <c r="N591" s="59" t="n"/>
      <c r="O591" s="59" t="n"/>
      <c r="X591" s="61" t="n"/>
      <c r="Y591" s="61" t="n"/>
    </row>
    <row r="592" ht="14.25" customHeight="1" s="86">
      <c r="E592" s="53" t="inlineStr">
        <is>
          <t>IA</t>
        </is>
      </c>
      <c r="F592" s="53" t="inlineStr">
        <is>
          <t>GREENE</t>
        </is>
      </c>
      <c r="G592" s="59" t="n"/>
      <c r="N592" s="59" t="n"/>
      <c r="O592" s="59" t="n"/>
      <c r="X592" s="61" t="n"/>
      <c r="Y592" s="61" t="n"/>
    </row>
    <row r="593" ht="14.25" customHeight="1" s="86">
      <c r="E593" s="53" t="inlineStr">
        <is>
          <t>IA</t>
        </is>
      </c>
      <c r="F593" s="53" t="inlineStr">
        <is>
          <t>GRUNDY</t>
        </is>
      </c>
      <c r="G593" s="59" t="n"/>
      <c r="N593" s="59" t="n"/>
      <c r="O593" s="59" t="n"/>
      <c r="X593" s="61" t="n"/>
      <c r="Y593" s="61" t="n"/>
    </row>
    <row r="594" ht="14.25" customHeight="1" s="86">
      <c r="E594" s="53" t="inlineStr">
        <is>
          <t>IA</t>
        </is>
      </c>
      <c r="F594" s="53" t="inlineStr">
        <is>
          <t>GUTHRIE</t>
        </is>
      </c>
      <c r="G594" s="59" t="n"/>
      <c r="N594" s="59" t="n"/>
      <c r="O594" s="59" t="n"/>
      <c r="X594" s="61" t="n"/>
      <c r="Y594" s="61" t="n"/>
    </row>
    <row r="595" ht="14.25" customHeight="1" s="86">
      <c r="E595" s="53" t="inlineStr">
        <is>
          <t>IA</t>
        </is>
      </c>
      <c r="F595" s="53" t="inlineStr">
        <is>
          <t>HAMILTON</t>
        </is>
      </c>
      <c r="G595" s="59" t="n"/>
      <c r="N595" s="59" t="n"/>
      <c r="O595" s="59" t="n"/>
      <c r="X595" s="61" t="n"/>
      <c r="Y595" s="61" t="n"/>
    </row>
    <row r="596" ht="14.25" customHeight="1" s="86">
      <c r="E596" s="53" t="inlineStr">
        <is>
          <t>IA</t>
        </is>
      </c>
      <c r="F596" s="53" t="inlineStr">
        <is>
          <t>HANCOCK</t>
        </is>
      </c>
      <c r="G596" s="59" t="n"/>
      <c r="N596" s="59" t="n"/>
      <c r="O596" s="59" t="n"/>
      <c r="X596" s="61" t="n"/>
      <c r="Y596" s="61" t="n"/>
    </row>
    <row r="597" ht="14.25" customHeight="1" s="86">
      <c r="E597" s="53" t="inlineStr">
        <is>
          <t>IA</t>
        </is>
      </c>
      <c r="F597" s="53" t="inlineStr">
        <is>
          <t>HARDIN</t>
        </is>
      </c>
      <c r="G597" s="59" t="n"/>
      <c r="N597" s="59" t="n"/>
      <c r="O597" s="59" t="n"/>
      <c r="X597" s="61" t="n"/>
      <c r="Y597" s="61" t="n"/>
    </row>
    <row r="598" ht="14.25" customHeight="1" s="86">
      <c r="E598" s="53" t="inlineStr">
        <is>
          <t>IA</t>
        </is>
      </c>
      <c r="F598" s="53" t="inlineStr">
        <is>
          <t>HARRISON</t>
        </is>
      </c>
      <c r="G598" s="59" t="n"/>
      <c r="N598" s="59" t="n"/>
      <c r="O598" s="59" t="n"/>
      <c r="X598" s="61" t="n"/>
      <c r="Y598" s="61" t="n"/>
    </row>
    <row r="599" ht="14.25" customHeight="1" s="86">
      <c r="E599" s="53" t="inlineStr">
        <is>
          <t>IA</t>
        </is>
      </c>
      <c r="F599" s="53" t="inlineStr">
        <is>
          <t>HENRY</t>
        </is>
      </c>
      <c r="G599" s="59" t="n"/>
      <c r="N599" s="59" t="n"/>
      <c r="O599" s="59" t="n"/>
      <c r="X599" s="61" t="n"/>
      <c r="Y599" s="61" t="n"/>
    </row>
    <row r="600" ht="14.25" customHeight="1" s="86">
      <c r="E600" s="53" t="inlineStr">
        <is>
          <t>IA</t>
        </is>
      </c>
      <c r="F600" s="53" t="inlineStr">
        <is>
          <t>HOWARD</t>
        </is>
      </c>
      <c r="G600" s="59" t="n"/>
      <c r="N600" s="59" t="n"/>
      <c r="O600" s="59" t="n"/>
      <c r="X600" s="61" t="n"/>
      <c r="Y600" s="61" t="n"/>
    </row>
    <row r="601" ht="14.25" customHeight="1" s="86">
      <c r="E601" s="53" t="inlineStr">
        <is>
          <t>IA</t>
        </is>
      </c>
      <c r="F601" s="53" t="inlineStr">
        <is>
          <t>HUMBOLDT</t>
        </is>
      </c>
      <c r="G601" s="59" t="n"/>
      <c r="N601" s="59" t="n"/>
      <c r="O601" s="59" t="n"/>
      <c r="X601" s="61" t="n"/>
      <c r="Y601" s="61" t="n"/>
    </row>
    <row r="602" ht="14.25" customHeight="1" s="86">
      <c r="E602" s="53" t="inlineStr">
        <is>
          <t>IA</t>
        </is>
      </c>
      <c r="F602" s="53" t="inlineStr">
        <is>
          <t>IDA</t>
        </is>
      </c>
      <c r="G602" s="59" t="n"/>
      <c r="N602" s="59" t="n"/>
      <c r="O602" s="59" t="n"/>
      <c r="X602" s="61" t="n"/>
      <c r="Y602" s="61" t="n"/>
    </row>
    <row r="603" ht="14.25" customHeight="1" s="86">
      <c r="E603" s="53" t="inlineStr">
        <is>
          <t>IA</t>
        </is>
      </c>
      <c r="F603" s="53" t="inlineStr">
        <is>
          <t>IOWA</t>
        </is>
      </c>
      <c r="G603" s="59" t="n"/>
      <c r="N603" s="59" t="n"/>
      <c r="O603" s="59" t="n"/>
      <c r="X603" s="61" t="n"/>
      <c r="Y603" s="61" t="n"/>
    </row>
    <row r="604" ht="14.25" customHeight="1" s="86">
      <c r="E604" s="53" t="inlineStr">
        <is>
          <t>IA</t>
        </is>
      </c>
      <c r="F604" s="53" t="inlineStr">
        <is>
          <t>JACKSON</t>
        </is>
      </c>
      <c r="G604" s="59" t="n"/>
      <c r="N604" s="59" t="n"/>
      <c r="O604" s="59" t="n"/>
      <c r="X604" s="61" t="n"/>
      <c r="Y604" s="61" t="n"/>
    </row>
    <row r="605" ht="14.25" customHeight="1" s="86">
      <c r="E605" s="53" t="inlineStr">
        <is>
          <t>IA</t>
        </is>
      </c>
      <c r="F605" s="53" t="inlineStr">
        <is>
          <t>JASPER</t>
        </is>
      </c>
      <c r="G605" s="59" t="n"/>
      <c r="N605" s="59" t="n"/>
      <c r="O605" s="59" t="n"/>
      <c r="X605" s="61" t="n"/>
      <c r="Y605" s="61" t="n"/>
    </row>
    <row r="606" ht="14.25" customHeight="1" s="86">
      <c r="E606" s="53" t="inlineStr">
        <is>
          <t>IA</t>
        </is>
      </c>
      <c r="F606" s="53" t="inlineStr">
        <is>
          <t>JEFFERSON</t>
        </is>
      </c>
      <c r="G606" s="59" t="n"/>
      <c r="N606" s="59" t="n"/>
      <c r="O606" s="59" t="n"/>
      <c r="X606" s="61" t="n"/>
      <c r="Y606" s="61" t="n"/>
    </row>
    <row r="607" ht="14.25" customHeight="1" s="86">
      <c r="E607" s="53" t="inlineStr">
        <is>
          <t>IA</t>
        </is>
      </c>
      <c r="F607" s="53" t="inlineStr">
        <is>
          <t>JOHNSON</t>
        </is>
      </c>
      <c r="G607" s="59" t="n"/>
      <c r="N607" s="59" t="n"/>
      <c r="O607" s="59" t="n"/>
      <c r="X607" s="61" t="n"/>
      <c r="Y607" s="61" t="n"/>
    </row>
    <row r="608" ht="14.25" customHeight="1" s="86">
      <c r="E608" s="53" t="inlineStr">
        <is>
          <t>IA</t>
        </is>
      </c>
      <c r="F608" s="53" t="inlineStr">
        <is>
          <t>JONES</t>
        </is>
      </c>
      <c r="G608" s="59" t="n"/>
      <c r="N608" s="59" t="n"/>
      <c r="O608" s="59" t="n"/>
      <c r="X608" s="61" t="n"/>
      <c r="Y608" s="61" t="n"/>
    </row>
    <row r="609" ht="14.25" customHeight="1" s="86">
      <c r="E609" s="53" t="inlineStr">
        <is>
          <t>IA</t>
        </is>
      </c>
      <c r="F609" s="53" t="inlineStr">
        <is>
          <t>KEOKUK</t>
        </is>
      </c>
      <c r="G609" s="59" t="n"/>
      <c r="N609" s="59" t="n"/>
      <c r="O609" s="59" t="n"/>
      <c r="X609" s="61" t="n"/>
      <c r="Y609" s="61" t="n"/>
    </row>
    <row r="610" ht="14.25" customHeight="1" s="86">
      <c r="E610" s="53" t="inlineStr">
        <is>
          <t>IA</t>
        </is>
      </c>
      <c r="F610" s="53" t="inlineStr">
        <is>
          <t>KOSSUTH</t>
        </is>
      </c>
      <c r="G610" s="59" t="n"/>
      <c r="N610" s="59" t="n"/>
      <c r="O610" s="59" t="n"/>
      <c r="X610" s="61" t="n"/>
      <c r="Y610" s="61" t="n"/>
    </row>
    <row r="611" ht="14.25" customHeight="1" s="86">
      <c r="E611" s="53" t="inlineStr">
        <is>
          <t>IA</t>
        </is>
      </c>
      <c r="F611" s="53" t="inlineStr">
        <is>
          <t>LEE</t>
        </is>
      </c>
      <c r="G611" s="59" t="n"/>
      <c r="N611" s="59" t="n"/>
      <c r="O611" s="59" t="n"/>
      <c r="X611" s="61" t="n"/>
      <c r="Y611" s="61" t="n"/>
    </row>
    <row r="612" ht="14.25" customHeight="1" s="86">
      <c r="E612" s="53" t="inlineStr">
        <is>
          <t>IA</t>
        </is>
      </c>
      <c r="F612" s="53" t="inlineStr">
        <is>
          <t>LINN</t>
        </is>
      </c>
      <c r="G612" s="59" t="n"/>
      <c r="N612" s="59" t="n"/>
      <c r="O612" s="59" t="n"/>
      <c r="X612" s="61" t="n"/>
      <c r="Y612" s="61" t="n"/>
    </row>
    <row r="613" ht="14.25" customHeight="1" s="86">
      <c r="E613" s="53" t="inlineStr">
        <is>
          <t>IA</t>
        </is>
      </c>
      <c r="F613" s="53" t="inlineStr">
        <is>
          <t>LOUISA</t>
        </is>
      </c>
      <c r="G613" s="59" t="n"/>
      <c r="N613" s="59" t="n"/>
      <c r="O613" s="59" t="n"/>
      <c r="X613" s="61" t="n"/>
      <c r="Y613" s="61" t="n"/>
    </row>
    <row r="614" ht="14.25" customHeight="1" s="86">
      <c r="E614" s="53" t="inlineStr">
        <is>
          <t>IA</t>
        </is>
      </c>
      <c r="F614" s="53" t="inlineStr">
        <is>
          <t>LUCAS</t>
        </is>
      </c>
      <c r="G614" s="59" t="n"/>
      <c r="N614" s="59" t="n"/>
      <c r="O614" s="59" t="n"/>
      <c r="X614" s="61" t="n"/>
      <c r="Y614" s="61" t="n"/>
    </row>
    <row r="615" ht="14.25" customHeight="1" s="86">
      <c r="E615" s="53" t="inlineStr">
        <is>
          <t>IA</t>
        </is>
      </c>
      <c r="F615" s="53" t="inlineStr">
        <is>
          <t>LYON</t>
        </is>
      </c>
      <c r="G615" s="59" t="n"/>
      <c r="N615" s="59" t="n"/>
      <c r="O615" s="59" t="n"/>
      <c r="X615" s="61" t="n"/>
      <c r="Y615" s="61" t="n"/>
    </row>
    <row r="616" ht="14.25" customHeight="1" s="86">
      <c r="E616" s="53" t="inlineStr">
        <is>
          <t>IA</t>
        </is>
      </c>
      <c r="F616" s="53" t="inlineStr">
        <is>
          <t>MADISON</t>
        </is>
      </c>
      <c r="G616" s="59" t="n"/>
      <c r="N616" s="59" t="n"/>
      <c r="O616" s="59" t="n"/>
      <c r="X616" s="61" t="n"/>
      <c r="Y616" s="61" t="n"/>
    </row>
    <row r="617" ht="14.25" customHeight="1" s="86">
      <c r="E617" s="53" t="inlineStr">
        <is>
          <t>IA</t>
        </is>
      </c>
      <c r="F617" s="53" t="inlineStr">
        <is>
          <t>MAHASKA</t>
        </is>
      </c>
      <c r="G617" s="59" t="n"/>
      <c r="N617" s="59" t="n"/>
      <c r="O617" s="59" t="n"/>
      <c r="X617" s="61" t="n"/>
      <c r="Y617" s="61" t="n"/>
    </row>
    <row r="618" ht="14.25" customHeight="1" s="86">
      <c r="E618" s="53" t="inlineStr">
        <is>
          <t>IA</t>
        </is>
      </c>
      <c r="F618" s="53" t="inlineStr">
        <is>
          <t>MARION</t>
        </is>
      </c>
      <c r="G618" s="59" t="n"/>
      <c r="N618" s="59" t="n"/>
      <c r="O618" s="59" t="n"/>
      <c r="X618" s="61" t="n"/>
      <c r="Y618" s="61" t="n"/>
    </row>
    <row r="619" ht="14.25" customHeight="1" s="86">
      <c r="E619" s="53" t="inlineStr">
        <is>
          <t>IA</t>
        </is>
      </c>
      <c r="F619" s="53" t="inlineStr">
        <is>
          <t>MARSHALL</t>
        </is>
      </c>
      <c r="G619" s="59" t="n"/>
      <c r="N619" s="59" t="n"/>
      <c r="O619" s="59" t="n"/>
      <c r="X619" s="61" t="n"/>
      <c r="Y619" s="61" t="n"/>
    </row>
    <row r="620" ht="14.25" customHeight="1" s="86">
      <c r="E620" s="53" t="inlineStr">
        <is>
          <t>IA</t>
        </is>
      </c>
      <c r="F620" s="53" t="inlineStr">
        <is>
          <t>MILLS</t>
        </is>
      </c>
      <c r="G620" s="59" t="n"/>
      <c r="N620" s="59" t="n"/>
      <c r="O620" s="59" t="n"/>
      <c r="X620" s="61" t="n"/>
      <c r="Y620" s="61" t="n"/>
    </row>
    <row r="621" ht="14.25" customHeight="1" s="86">
      <c r="E621" s="53" t="inlineStr">
        <is>
          <t>IA</t>
        </is>
      </c>
      <c r="F621" s="53" t="inlineStr">
        <is>
          <t>MITCHELL</t>
        </is>
      </c>
      <c r="G621" s="59" t="n"/>
      <c r="N621" s="59" t="n"/>
      <c r="O621" s="59" t="n"/>
      <c r="X621" s="61" t="n"/>
      <c r="Y621" s="61" t="n"/>
    </row>
    <row r="622" ht="14.25" customHeight="1" s="86">
      <c r="E622" s="53" t="inlineStr">
        <is>
          <t>IA</t>
        </is>
      </c>
      <c r="F622" s="53" t="inlineStr">
        <is>
          <t>MONONA</t>
        </is>
      </c>
      <c r="G622" s="59" t="n"/>
      <c r="N622" s="59" t="n"/>
      <c r="O622" s="59" t="n"/>
      <c r="X622" s="61" t="n"/>
      <c r="Y622" s="61" t="n"/>
    </row>
    <row r="623" ht="14.25" customHeight="1" s="86">
      <c r="E623" s="53" t="inlineStr">
        <is>
          <t>IA</t>
        </is>
      </c>
      <c r="F623" s="53" t="inlineStr">
        <is>
          <t>MONROE</t>
        </is>
      </c>
      <c r="G623" s="59" t="n"/>
      <c r="N623" s="59" t="n"/>
      <c r="O623" s="59" t="n"/>
      <c r="X623" s="61" t="n"/>
      <c r="Y623" s="61" t="n"/>
    </row>
    <row r="624" ht="14.25" customHeight="1" s="86">
      <c r="E624" s="53" t="inlineStr">
        <is>
          <t>IA</t>
        </is>
      </c>
      <c r="F624" s="53" t="inlineStr">
        <is>
          <t>MONTGOMERY</t>
        </is>
      </c>
      <c r="G624" s="59" t="n"/>
      <c r="N624" s="59" t="n"/>
      <c r="O624" s="59" t="n"/>
      <c r="X624" s="61" t="n"/>
      <c r="Y624" s="61" t="n"/>
    </row>
    <row r="625" ht="14.25" customHeight="1" s="86">
      <c r="E625" s="53" t="inlineStr">
        <is>
          <t>IA</t>
        </is>
      </c>
      <c r="F625" s="53" t="inlineStr">
        <is>
          <t>MUSCATINE</t>
        </is>
      </c>
      <c r="G625" s="59" t="n"/>
      <c r="N625" s="59" t="n"/>
      <c r="O625" s="59" t="n"/>
      <c r="X625" s="61" t="n"/>
      <c r="Y625" s="61" t="n"/>
    </row>
    <row r="626" ht="14.25" customHeight="1" s="86">
      <c r="E626" s="53" t="inlineStr">
        <is>
          <t>IA</t>
        </is>
      </c>
      <c r="F626" s="53" t="inlineStr">
        <is>
          <t>OBRIEN</t>
        </is>
      </c>
      <c r="G626" s="59" t="n"/>
      <c r="N626" s="59" t="n"/>
      <c r="O626" s="59" t="n"/>
      <c r="X626" s="61" t="n"/>
      <c r="Y626" s="61" t="n"/>
    </row>
    <row r="627" ht="14.25" customHeight="1" s="86">
      <c r="E627" s="53" t="inlineStr">
        <is>
          <t>IA</t>
        </is>
      </c>
      <c r="F627" s="53" t="inlineStr">
        <is>
          <t>OSCEOLA</t>
        </is>
      </c>
      <c r="G627" s="59" t="n"/>
      <c r="N627" s="59" t="n"/>
      <c r="O627" s="59" t="n"/>
      <c r="X627" s="61" t="n"/>
      <c r="Y627" s="61" t="n"/>
    </row>
    <row r="628" ht="14.25" customHeight="1" s="86">
      <c r="E628" s="53" t="inlineStr">
        <is>
          <t>IA</t>
        </is>
      </c>
      <c r="F628" s="53" t="inlineStr">
        <is>
          <t>PAGE</t>
        </is>
      </c>
      <c r="G628" s="59" t="n"/>
      <c r="N628" s="59" t="n"/>
      <c r="O628" s="59" t="n"/>
      <c r="X628" s="61" t="n"/>
      <c r="Y628" s="61" t="n"/>
    </row>
    <row r="629" ht="14.25" customHeight="1" s="86">
      <c r="E629" s="53" t="inlineStr">
        <is>
          <t>IA</t>
        </is>
      </c>
      <c r="F629" s="53" t="inlineStr">
        <is>
          <t>PALO ALTO</t>
        </is>
      </c>
      <c r="G629" s="59" t="n"/>
      <c r="N629" s="59" t="n"/>
      <c r="O629" s="59" t="n"/>
      <c r="X629" s="61" t="n"/>
      <c r="Y629" s="61" t="n"/>
    </row>
    <row r="630" ht="14.25" customHeight="1" s="86">
      <c r="E630" s="53" t="inlineStr">
        <is>
          <t>IA</t>
        </is>
      </c>
      <c r="F630" s="53" t="inlineStr">
        <is>
          <t>PLYMOUTH</t>
        </is>
      </c>
      <c r="G630" s="59" t="n"/>
      <c r="N630" s="59" t="n"/>
      <c r="O630" s="59" t="n"/>
      <c r="X630" s="61" t="n"/>
      <c r="Y630" s="61" t="n"/>
    </row>
    <row r="631" ht="14.25" customHeight="1" s="86">
      <c r="E631" s="53" t="inlineStr">
        <is>
          <t>IA</t>
        </is>
      </c>
      <c r="F631" s="53" t="inlineStr">
        <is>
          <t>POCAHONTAS</t>
        </is>
      </c>
      <c r="G631" s="59" t="n"/>
      <c r="N631" s="59" t="n"/>
      <c r="O631" s="59" t="n"/>
      <c r="X631" s="61" t="n"/>
      <c r="Y631" s="61" t="n"/>
    </row>
    <row r="632" ht="14.25" customHeight="1" s="86">
      <c r="E632" s="53" t="inlineStr">
        <is>
          <t>IA</t>
        </is>
      </c>
      <c r="F632" s="53" t="inlineStr">
        <is>
          <t>POLK</t>
        </is>
      </c>
      <c r="G632" s="59" t="n"/>
      <c r="N632" s="59" t="n"/>
      <c r="O632" s="59" t="n"/>
      <c r="X632" s="61" t="n"/>
      <c r="Y632" s="61" t="n"/>
    </row>
    <row r="633" ht="14.25" customHeight="1" s="86">
      <c r="E633" s="53" t="inlineStr">
        <is>
          <t>IA</t>
        </is>
      </c>
      <c r="F633" s="53" t="inlineStr">
        <is>
          <t>POTTAWATTAMIE</t>
        </is>
      </c>
      <c r="G633" s="59" t="n"/>
      <c r="N633" s="59" t="n"/>
      <c r="O633" s="59" t="n"/>
      <c r="X633" s="61" t="n"/>
      <c r="Y633" s="61" t="n"/>
    </row>
    <row r="634" ht="14.25" customHeight="1" s="86">
      <c r="E634" s="53" t="inlineStr">
        <is>
          <t>IA</t>
        </is>
      </c>
      <c r="F634" s="53" t="inlineStr">
        <is>
          <t>POWESHIEK</t>
        </is>
      </c>
      <c r="G634" s="59" t="n"/>
      <c r="N634" s="59" t="n"/>
      <c r="O634" s="59" t="n"/>
      <c r="X634" s="61" t="n"/>
      <c r="Y634" s="61" t="n"/>
    </row>
    <row r="635" ht="14.25" customHeight="1" s="86">
      <c r="E635" s="53" t="inlineStr">
        <is>
          <t>IA</t>
        </is>
      </c>
      <c r="F635" s="53" t="inlineStr">
        <is>
          <t>RINGGOLD</t>
        </is>
      </c>
      <c r="G635" s="59" t="n"/>
      <c r="N635" s="59" t="n"/>
      <c r="O635" s="59" t="n"/>
      <c r="X635" s="61" t="n"/>
      <c r="Y635" s="61" t="n"/>
    </row>
    <row r="636" ht="14.25" customHeight="1" s="86">
      <c r="E636" s="53" t="inlineStr">
        <is>
          <t>IA</t>
        </is>
      </c>
      <c r="F636" s="53" t="inlineStr">
        <is>
          <t>SAC</t>
        </is>
      </c>
      <c r="G636" s="59" t="n"/>
      <c r="N636" s="59" t="n"/>
      <c r="O636" s="59" t="n"/>
      <c r="X636" s="61" t="n"/>
      <c r="Y636" s="61" t="n"/>
    </row>
    <row r="637" ht="14.25" customHeight="1" s="86">
      <c r="E637" s="53" t="inlineStr">
        <is>
          <t>IA</t>
        </is>
      </c>
      <c r="F637" s="53" t="inlineStr">
        <is>
          <t>SCOTT</t>
        </is>
      </c>
      <c r="G637" s="59" t="n"/>
      <c r="N637" s="59" t="n"/>
      <c r="O637" s="59" t="n"/>
      <c r="X637" s="61" t="n"/>
      <c r="Y637" s="61" t="n"/>
    </row>
    <row r="638" ht="14.25" customHeight="1" s="86">
      <c r="E638" s="53" t="inlineStr">
        <is>
          <t>IA</t>
        </is>
      </c>
      <c r="F638" s="53" t="inlineStr">
        <is>
          <t>SHELBY</t>
        </is>
      </c>
      <c r="G638" s="59" t="n"/>
      <c r="N638" s="59" t="n"/>
      <c r="O638" s="59" t="n"/>
      <c r="X638" s="61" t="n"/>
      <c r="Y638" s="61" t="n"/>
    </row>
    <row r="639" ht="14.25" customHeight="1" s="86">
      <c r="E639" s="53" t="inlineStr">
        <is>
          <t>IA</t>
        </is>
      </c>
      <c r="F639" s="53" t="inlineStr">
        <is>
          <t>SIOUX</t>
        </is>
      </c>
      <c r="G639" s="59" t="n"/>
      <c r="N639" s="59" t="n"/>
      <c r="O639" s="59" t="n"/>
      <c r="X639" s="61" t="n"/>
      <c r="Y639" s="61" t="n"/>
    </row>
    <row r="640" ht="14.25" customHeight="1" s="86">
      <c r="E640" s="53" t="inlineStr">
        <is>
          <t>IA</t>
        </is>
      </c>
      <c r="F640" s="53" t="inlineStr">
        <is>
          <t>STORY</t>
        </is>
      </c>
      <c r="G640" s="59" t="n"/>
      <c r="N640" s="59" t="n"/>
      <c r="O640" s="59" t="n"/>
      <c r="X640" s="61" t="n"/>
      <c r="Y640" s="61" t="n"/>
    </row>
    <row r="641" ht="14.25" customHeight="1" s="86">
      <c r="E641" s="53" t="inlineStr">
        <is>
          <t>IA</t>
        </is>
      </c>
      <c r="F641" s="53" t="inlineStr">
        <is>
          <t>TAMA</t>
        </is>
      </c>
      <c r="G641" s="59" t="n"/>
      <c r="N641" s="59" t="n"/>
      <c r="O641" s="59" t="n"/>
      <c r="X641" s="61" t="n"/>
      <c r="Y641" s="61" t="n"/>
    </row>
    <row r="642" ht="14.25" customHeight="1" s="86">
      <c r="E642" s="53" t="inlineStr">
        <is>
          <t>IA</t>
        </is>
      </c>
      <c r="F642" s="53" t="inlineStr">
        <is>
          <t>TAYLOR</t>
        </is>
      </c>
      <c r="G642" s="59" t="n"/>
      <c r="N642" s="59" t="n"/>
      <c r="O642" s="59" t="n"/>
      <c r="X642" s="61" t="n"/>
      <c r="Y642" s="61" t="n"/>
    </row>
    <row r="643" ht="14.25" customHeight="1" s="86">
      <c r="E643" s="53" t="inlineStr">
        <is>
          <t>IA</t>
        </is>
      </c>
      <c r="F643" s="53" t="inlineStr">
        <is>
          <t>UNION</t>
        </is>
      </c>
      <c r="G643" s="59" t="n"/>
      <c r="N643" s="59" t="n"/>
      <c r="O643" s="59" t="n"/>
      <c r="X643" s="61" t="n"/>
      <c r="Y643" s="61" t="n"/>
    </row>
    <row r="644" ht="14.25" customHeight="1" s="86">
      <c r="E644" s="53" t="inlineStr">
        <is>
          <t>IA</t>
        </is>
      </c>
      <c r="F644" s="53" t="inlineStr">
        <is>
          <t>VAN BUREN</t>
        </is>
      </c>
      <c r="G644" s="59" t="n"/>
      <c r="N644" s="59" t="n"/>
      <c r="O644" s="59" t="n"/>
      <c r="X644" s="61" t="n"/>
      <c r="Y644" s="61" t="n"/>
    </row>
    <row r="645" ht="14.25" customHeight="1" s="86">
      <c r="E645" s="53" t="inlineStr">
        <is>
          <t>IA</t>
        </is>
      </c>
      <c r="F645" s="53" t="inlineStr">
        <is>
          <t>WAPELLO</t>
        </is>
      </c>
      <c r="G645" s="59" t="n"/>
      <c r="N645" s="59" t="n"/>
      <c r="O645" s="59" t="n"/>
      <c r="X645" s="61" t="n"/>
      <c r="Y645" s="61" t="n"/>
    </row>
    <row r="646" ht="14.25" customHeight="1" s="86">
      <c r="E646" s="53" t="inlineStr">
        <is>
          <t>IA</t>
        </is>
      </c>
      <c r="F646" s="53" t="inlineStr">
        <is>
          <t>WARREN</t>
        </is>
      </c>
      <c r="G646" s="59" t="n"/>
      <c r="N646" s="59" t="n"/>
      <c r="O646" s="59" t="n"/>
      <c r="X646" s="61" t="n"/>
      <c r="Y646" s="61" t="n"/>
    </row>
    <row r="647" ht="14.25" customHeight="1" s="86">
      <c r="E647" s="53" t="inlineStr">
        <is>
          <t>IA</t>
        </is>
      </c>
      <c r="F647" s="53" t="inlineStr">
        <is>
          <t>WASHINGTON</t>
        </is>
      </c>
      <c r="G647" s="59" t="n"/>
      <c r="N647" s="59" t="n"/>
      <c r="O647" s="59" t="n"/>
      <c r="X647" s="61" t="n"/>
      <c r="Y647" s="61" t="n"/>
    </row>
    <row r="648" ht="14.25" customHeight="1" s="86">
      <c r="E648" s="53" t="inlineStr">
        <is>
          <t>IA</t>
        </is>
      </c>
      <c r="F648" s="53" t="inlineStr">
        <is>
          <t>WAYNE</t>
        </is>
      </c>
      <c r="G648" s="59" t="n"/>
      <c r="N648" s="59" t="n"/>
      <c r="O648" s="59" t="n"/>
      <c r="X648" s="61" t="n"/>
      <c r="Y648" s="61" t="n"/>
    </row>
    <row r="649" ht="14.25" customHeight="1" s="86">
      <c r="E649" s="53" t="inlineStr">
        <is>
          <t>IA</t>
        </is>
      </c>
      <c r="F649" s="53" t="inlineStr">
        <is>
          <t>WEBSTER</t>
        </is>
      </c>
      <c r="G649" s="59" t="n"/>
      <c r="N649" s="59" t="n"/>
      <c r="O649" s="59" t="n"/>
      <c r="X649" s="61" t="n"/>
      <c r="Y649" s="61" t="n"/>
    </row>
    <row r="650" ht="14.25" customHeight="1" s="86">
      <c r="E650" s="53" t="inlineStr">
        <is>
          <t>IA</t>
        </is>
      </c>
      <c r="F650" s="53" t="inlineStr">
        <is>
          <t>WINNEBAGO</t>
        </is>
      </c>
      <c r="G650" s="59" t="n"/>
      <c r="N650" s="59" t="n"/>
      <c r="O650" s="59" t="n"/>
      <c r="X650" s="61" t="n"/>
      <c r="Y650" s="61" t="n"/>
    </row>
    <row r="651" ht="14.25" customHeight="1" s="86">
      <c r="E651" s="53" t="inlineStr">
        <is>
          <t>IA</t>
        </is>
      </c>
      <c r="F651" s="53" t="inlineStr">
        <is>
          <t>WINNESHIEK</t>
        </is>
      </c>
      <c r="G651" s="59" t="n"/>
      <c r="N651" s="59" t="n"/>
      <c r="O651" s="59" t="n"/>
      <c r="X651" s="61" t="n"/>
      <c r="Y651" s="61" t="n"/>
    </row>
    <row r="652" ht="14.25" customHeight="1" s="86">
      <c r="E652" s="53" t="inlineStr">
        <is>
          <t>IA</t>
        </is>
      </c>
      <c r="F652" s="53" t="inlineStr">
        <is>
          <t>WOODBURY</t>
        </is>
      </c>
      <c r="G652" s="59" t="n"/>
      <c r="N652" s="59" t="n"/>
      <c r="O652" s="59" t="n"/>
      <c r="X652" s="61" t="n"/>
      <c r="Y652" s="61" t="n"/>
    </row>
    <row r="653" ht="14.25" customHeight="1" s="86">
      <c r="E653" s="53" t="inlineStr">
        <is>
          <t>IA</t>
        </is>
      </c>
      <c r="F653" s="53" t="inlineStr">
        <is>
          <t>WORTH</t>
        </is>
      </c>
      <c r="G653" s="59" t="n"/>
      <c r="N653" s="59" t="n"/>
      <c r="O653" s="59" t="n"/>
      <c r="X653" s="61" t="n"/>
      <c r="Y653" s="61" t="n"/>
    </row>
    <row r="654" ht="14.25" customHeight="1" s="86">
      <c r="E654" s="53" t="inlineStr">
        <is>
          <t>IA</t>
        </is>
      </c>
      <c r="F654" s="53" t="inlineStr">
        <is>
          <t>WRIGHT</t>
        </is>
      </c>
      <c r="G654" s="59" t="n"/>
      <c r="N654" s="59" t="n"/>
      <c r="O654" s="59" t="n"/>
      <c r="X654" s="61" t="n"/>
      <c r="Y654" s="61" t="n"/>
    </row>
    <row r="655" ht="14.25" customHeight="1" s="86">
      <c r="E655" s="53" t="inlineStr">
        <is>
          <t>ID</t>
        </is>
      </c>
      <c r="F655" s="53" t="inlineStr">
        <is>
          <t>ADA</t>
        </is>
      </c>
      <c r="G655" s="59" t="n"/>
      <c r="N655" s="59" t="n"/>
      <c r="O655" s="59" t="n"/>
      <c r="X655" s="61" t="n"/>
      <c r="Y655" s="61" t="n"/>
    </row>
    <row r="656" ht="14.25" customHeight="1" s="86">
      <c r="E656" s="53" t="inlineStr">
        <is>
          <t>ID</t>
        </is>
      </c>
      <c r="F656" s="53" t="inlineStr">
        <is>
          <t>ADAMS</t>
        </is>
      </c>
      <c r="G656" s="59" t="n"/>
      <c r="N656" s="59" t="n"/>
      <c r="O656" s="59" t="n"/>
      <c r="X656" s="61" t="n"/>
      <c r="Y656" s="61" t="n"/>
    </row>
    <row r="657" ht="14.25" customHeight="1" s="86">
      <c r="E657" s="53" t="inlineStr">
        <is>
          <t>ID</t>
        </is>
      </c>
      <c r="F657" s="53" t="inlineStr">
        <is>
          <t>BANNOCK</t>
        </is>
      </c>
      <c r="G657" s="59" t="n"/>
      <c r="N657" s="59" t="n"/>
      <c r="O657" s="59" t="n"/>
      <c r="X657" s="61" t="n"/>
      <c r="Y657" s="61" t="n"/>
    </row>
    <row r="658" ht="14.25" customHeight="1" s="86">
      <c r="E658" s="53" t="inlineStr">
        <is>
          <t>ID</t>
        </is>
      </c>
      <c r="F658" s="53" t="inlineStr">
        <is>
          <t>BEAR LAKE</t>
        </is>
      </c>
      <c r="G658" s="59" t="n"/>
      <c r="N658" s="59" t="n"/>
      <c r="O658" s="59" t="n"/>
      <c r="X658" s="61" t="n"/>
      <c r="Y658" s="61" t="n"/>
    </row>
    <row r="659" ht="14.25" customHeight="1" s="86">
      <c r="E659" s="53" t="inlineStr">
        <is>
          <t>ID</t>
        </is>
      </c>
      <c r="F659" s="53" t="inlineStr">
        <is>
          <t>BENEWAH</t>
        </is>
      </c>
      <c r="G659" s="59" t="n"/>
      <c r="N659" s="59" t="n"/>
      <c r="O659" s="59" t="n"/>
      <c r="X659" s="61" t="n"/>
      <c r="Y659" s="61" t="n"/>
    </row>
    <row r="660" ht="14.25" customHeight="1" s="86">
      <c r="E660" s="53" t="inlineStr">
        <is>
          <t>ID</t>
        </is>
      </c>
      <c r="F660" s="53" t="inlineStr">
        <is>
          <t>BINGHAM</t>
        </is>
      </c>
      <c r="G660" s="59" t="n"/>
      <c r="N660" s="59" t="n"/>
      <c r="O660" s="59" t="n"/>
      <c r="X660" s="61" t="n"/>
      <c r="Y660" s="61" t="n"/>
    </row>
    <row r="661" ht="14.25" customHeight="1" s="86">
      <c r="E661" s="53" t="inlineStr">
        <is>
          <t>ID</t>
        </is>
      </c>
      <c r="F661" s="53" t="inlineStr">
        <is>
          <t>BLAINE</t>
        </is>
      </c>
      <c r="G661" s="59" t="n"/>
      <c r="N661" s="59" t="n"/>
      <c r="O661" s="59" t="n"/>
      <c r="X661" s="61" t="n"/>
      <c r="Y661" s="61" t="n"/>
    </row>
    <row r="662" ht="14.25" customHeight="1" s="86">
      <c r="E662" s="53" t="inlineStr">
        <is>
          <t>ID</t>
        </is>
      </c>
      <c r="F662" s="53" t="inlineStr">
        <is>
          <t>BOISE</t>
        </is>
      </c>
      <c r="G662" s="59" t="n"/>
      <c r="N662" s="59" t="n"/>
      <c r="O662" s="59" t="n"/>
      <c r="X662" s="61" t="n"/>
      <c r="Y662" s="61" t="n"/>
    </row>
    <row r="663" ht="14.25" customHeight="1" s="86">
      <c r="E663" s="53" t="inlineStr">
        <is>
          <t>ID</t>
        </is>
      </c>
      <c r="F663" s="53" t="inlineStr">
        <is>
          <t>BONNER</t>
        </is>
      </c>
      <c r="G663" s="59" t="n"/>
      <c r="N663" s="59" t="n"/>
      <c r="O663" s="59" t="n"/>
      <c r="X663" s="61" t="n"/>
      <c r="Y663" s="61" t="n"/>
    </row>
    <row r="664" ht="14.25" customHeight="1" s="86">
      <c r="E664" s="53" t="inlineStr">
        <is>
          <t>ID</t>
        </is>
      </c>
      <c r="F664" s="53" t="inlineStr">
        <is>
          <t>BONNEVILLE</t>
        </is>
      </c>
      <c r="G664" s="59" t="n"/>
      <c r="N664" s="59" t="n"/>
      <c r="O664" s="59" t="n"/>
      <c r="X664" s="61" t="n"/>
      <c r="Y664" s="61" t="n"/>
    </row>
    <row r="665" ht="14.25" customHeight="1" s="86">
      <c r="E665" s="53" t="inlineStr">
        <is>
          <t>ID</t>
        </is>
      </c>
      <c r="F665" s="53" t="inlineStr">
        <is>
          <t>BOUNDARY</t>
        </is>
      </c>
      <c r="G665" s="59" t="n"/>
      <c r="N665" s="59" t="n"/>
      <c r="O665" s="59" t="n"/>
      <c r="X665" s="61" t="n"/>
      <c r="Y665" s="61" t="n"/>
    </row>
    <row r="666" ht="14.25" customHeight="1" s="86">
      <c r="E666" s="53" t="inlineStr">
        <is>
          <t>ID</t>
        </is>
      </c>
      <c r="F666" s="53" t="inlineStr">
        <is>
          <t>BUTTE</t>
        </is>
      </c>
      <c r="G666" s="59" t="n"/>
      <c r="N666" s="59" t="n"/>
      <c r="O666" s="59" t="n"/>
      <c r="X666" s="61" t="n"/>
      <c r="Y666" s="61" t="n"/>
    </row>
    <row r="667" ht="14.25" customHeight="1" s="86">
      <c r="E667" s="53" t="inlineStr">
        <is>
          <t>ID</t>
        </is>
      </c>
      <c r="F667" s="53" t="inlineStr">
        <is>
          <t>CAMAS</t>
        </is>
      </c>
      <c r="G667" s="59" t="n"/>
      <c r="N667" s="59" t="n"/>
      <c r="O667" s="59" t="n"/>
      <c r="X667" s="61" t="n"/>
      <c r="Y667" s="61" t="n"/>
    </row>
    <row r="668" ht="14.25" customHeight="1" s="86">
      <c r="E668" s="53" t="inlineStr">
        <is>
          <t>ID</t>
        </is>
      </c>
      <c r="F668" s="53" t="inlineStr">
        <is>
          <t>CANYON</t>
        </is>
      </c>
      <c r="G668" s="59" t="n"/>
      <c r="N668" s="59" t="n"/>
      <c r="O668" s="59" t="n"/>
      <c r="X668" s="61" t="n"/>
      <c r="Y668" s="61" t="n"/>
    </row>
    <row r="669" ht="14.25" customHeight="1" s="86">
      <c r="E669" s="53" t="inlineStr">
        <is>
          <t>ID</t>
        </is>
      </c>
      <c r="F669" s="53" t="inlineStr">
        <is>
          <t>CARIBOU</t>
        </is>
      </c>
      <c r="G669" s="59" t="n"/>
      <c r="N669" s="59" t="n"/>
      <c r="O669" s="59" t="n"/>
      <c r="X669" s="61" t="n"/>
      <c r="Y669" s="61" t="n"/>
    </row>
    <row r="670" ht="14.25" customHeight="1" s="86">
      <c r="E670" s="53" t="inlineStr">
        <is>
          <t>ID</t>
        </is>
      </c>
      <c r="F670" s="53" t="inlineStr">
        <is>
          <t>CASSIA</t>
        </is>
      </c>
      <c r="G670" s="59" t="n"/>
      <c r="N670" s="59" t="n"/>
      <c r="O670" s="59" t="n"/>
      <c r="X670" s="61" t="n"/>
      <c r="Y670" s="61" t="n"/>
    </row>
    <row r="671" ht="14.25" customHeight="1" s="86">
      <c r="E671" s="53" t="inlineStr">
        <is>
          <t>ID</t>
        </is>
      </c>
      <c r="F671" s="53" t="inlineStr">
        <is>
          <t>CLARK</t>
        </is>
      </c>
      <c r="G671" s="59" t="n"/>
      <c r="N671" s="59" t="n"/>
      <c r="O671" s="59" t="n"/>
      <c r="X671" s="61" t="n"/>
      <c r="Y671" s="61" t="n"/>
    </row>
    <row r="672" ht="14.25" customHeight="1" s="86">
      <c r="E672" s="53" t="inlineStr">
        <is>
          <t>ID</t>
        </is>
      </c>
      <c r="F672" s="53" t="inlineStr">
        <is>
          <t>CLEARWATER</t>
        </is>
      </c>
      <c r="G672" s="59" t="n"/>
      <c r="N672" s="59" t="n"/>
      <c r="O672" s="59" t="n"/>
      <c r="X672" s="61" t="n"/>
      <c r="Y672" s="61" t="n"/>
    </row>
    <row r="673" ht="14.25" customHeight="1" s="86">
      <c r="E673" s="53" t="inlineStr">
        <is>
          <t>ID</t>
        </is>
      </c>
      <c r="F673" s="53" t="inlineStr">
        <is>
          <t>CUSTER</t>
        </is>
      </c>
      <c r="G673" s="59" t="n"/>
      <c r="N673" s="59" t="n"/>
      <c r="O673" s="59" t="n"/>
      <c r="X673" s="61" t="n"/>
      <c r="Y673" s="61" t="n"/>
    </row>
    <row r="674" ht="14.25" customHeight="1" s="86">
      <c r="E674" s="53" t="inlineStr">
        <is>
          <t>ID</t>
        </is>
      </c>
      <c r="F674" s="53" t="inlineStr">
        <is>
          <t>ELMORE</t>
        </is>
      </c>
      <c r="G674" s="59" t="n"/>
      <c r="N674" s="59" t="n"/>
      <c r="O674" s="59" t="n"/>
      <c r="X674" s="61" t="n"/>
      <c r="Y674" s="61" t="n"/>
    </row>
    <row r="675" ht="14.25" customHeight="1" s="86">
      <c r="E675" s="53" t="inlineStr">
        <is>
          <t>ID</t>
        </is>
      </c>
      <c r="F675" s="53" t="inlineStr">
        <is>
          <t>FRANKLIN</t>
        </is>
      </c>
      <c r="G675" s="59" t="n"/>
      <c r="N675" s="59" t="n"/>
      <c r="O675" s="59" t="n"/>
      <c r="X675" s="61" t="n"/>
      <c r="Y675" s="61" t="n"/>
    </row>
    <row r="676" ht="14.25" customHeight="1" s="86">
      <c r="E676" s="53" t="inlineStr">
        <is>
          <t>ID</t>
        </is>
      </c>
      <c r="F676" s="53" t="inlineStr">
        <is>
          <t>FREMONT</t>
        </is>
      </c>
      <c r="G676" s="59" t="n"/>
      <c r="N676" s="59" t="n"/>
      <c r="O676" s="59" t="n"/>
      <c r="X676" s="61" t="n"/>
      <c r="Y676" s="61" t="n"/>
    </row>
    <row r="677" ht="14.25" customHeight="1" s="86">
      <c r="E677" s="53" t="inlineStr">
        <is>
          <t>ID</t>
        </is>
      </c>
      <c r="F677" s="53" t="inlineStr">
        <is>
          <t>GEM</t>
        </is>
      </c>
      <c r="G677" s="59" t="n"/>
      <c r="N677" s="59" t="n"/>
      <c r="O677" s="59" t="n"/>
      <c r="X677" s="61" t="n"/>
      <c r="Y677" s="61" t="n"/>
    </row>
    <row r="678" ht="14.25" customHeight="1" s="86">
      <c r="E678" s="53" t="inlineStr">
        <is>
          <t>ID</t>
        </is>
      </c>
      <c r="F678" s="53" t="inlineStr">
        <is>
          <t>GOODING</t>
        </is>
      </c>
      <c r="G678" s="59" t="n"/>
      <c r="N678" s="59" t="n"/>
      <c r="O678" s="59" t="n"/>
      <c r="X678" s="61" t="n"/>
      <c r="Y678" s="61" t="n"/>
    </row>
    <row r="679" ht="14.25" customHeight="1" s="86">
      <c r="E679" s="53" t="inlineStr">
        <is>
          <t>ID</t>
        </is>
      </c>
      <c r="F679" s="53" t="inlineStr">
        <is>
          <t>IDAHO</t>
        </is>
      </c>
      <c r="G679" s="59" t="n"/>
      <c r="N679" s="59" t="n"/>
      <c r="O679" s="59" t="n"/>
      <c r="X679" s="61" t="n"/>
      <c r="Y679" s="61" t="n"/>
    </row>
    <row r="680" ht="14.25" customHeight="1" s="86">
      <c r="E680" s="53" t="inlineStr">
        <is>
          <t>ID</t>
        </is>
      </c>
      <c r="F680" s="53" t="inlineStr">
        <is>
          <t>JEFFERSON</t>
        </is>
      </c>
      <c r="G680" s="59" t="n"/>
      <c r="N680" s="59" t="n"/>
      <c r="O680" s="59" t="n"/>
      <c r="X680" s="61" t="n"/>
      <c r="Y680" s="61" t="n"/>
    </row>
    <row r="681" ht="14.25" customHeight="1" s="86">
      <c r="E681" s="53" t="inlineStr">
        <is>
          <t>ID</t>
        </is>
      </c>
      <c r="F681" s="53" t="inlineStr">
        <is>
          <t>JEROME</t>
        </is>
      </c>
      <c r="G681" s="59" t="n"/>
      <c r="N681" s="59" t="n"/>
      <c r="O681" s="59" t="n"/>
      <c r="X681" s="61" t="n"/>
      <c r="Y681" s="61" t="n"/>
    </row>
    <row r="682" ht="14.25" customHeight="1" s="86">
      <c r="E682" s="53" t="inlineStr">
        <is>
          <t>ID</t>
        </is>
      </c>
      <c r="F682" s="53" t="inlineStr">
        <is>
          <t>KOOTENAI</t>
        </is>
      </c>
      <c r="G682" s="59" t="n"/>
      <c r="N682" s="59" t="n"/>
      <c r="O682" s="59" t="n"/>
      <c r="X682" s="61" t="n"/>
      <c r="Y682" s="61" t="n"/>
    </row>
    <row r="683" ht="14.25" customHeight="1" s="86">
      <c r="E683" s="53" t="inlineStr">
        <is>
          <t>ID</t>
        </is>
      </c>
      <c r="F683" s="53" t="inlineStr">
        <is>
          <t>LATAH</t>
        </is>
      </c>
      <c r="G683" s="59" t="n"/>
      <c r="N683" s="59" t="n"/>
      <c r="O683" s="59" t="n"/>
      <c r="X683" s="61" t="n"/>
      <c r="Y683" s="61" t="n"/>
    </row>
    <row r="684" ht="14.25" customHeight="1" s="86">
      <c r="E684" s="53" t="inlineStr">
        <is>
          <t>ID</t>
        </is>
      </c>
      <c r="F684" s="53" t="inlineStr">
        <is>
          <t>LEMHI</t>
        </is>
      </c>
      <c r="G684" s="59" t="n"/>
      <c r="N684" s="59" t="n"/>
      <c r="O684" s="59" t="n"/>
      <c r="X684" s="61" t="n"/>
      <c r="Y684" s="61" t="n"/>
    </row>
    <row r="685" ht="14.25" customHeight="1" s="86">
      <c r="E685" s="53" t="inlineStr">
        <is>
          <t>ID</t>
        </is>
      </c>
      <c r="F685" s="53" t="inlineStr">
        <is>
          <t>LEWIS</t>
        </is>
      </c>
      <c r="G685" s="59" t="n"/>
      <c r="N685" s="59" t="n"/>
      <c r="O685" s="59" t="n"/>
      <c r="X685" s="61" t="n"/>
      <c r="Y685" s="61" t="n"/>
    </row>
    <row r="686" ht="14.25" customHeight="1" s="86">
      <c r="E686" s="53" t="inlineStr">
        <is>
          <t>ID</t>
        </is>
      </c>
      <c r="F686" s="53" t="inlineStr">
        <is>
          <t>LINCOLN</t>
        </is>
      </c>
      <c r="G686" s="59" t="n"/>
      <c r="N686" s="59" t="n"/>
      <c r="O686" s="59" t="n"/>
      <c r="X686" s="61" t="n"/>
      <c r="Y686" s="61" t="n"/>
    </row>
    <row r="687" ht="14.25" customHeight="1" s="86">
      <c r="E687" s="53" t="inlineStr">
        <is>
          <t>ID</t>
        </is>
      </c>
      <c r="F687" s="53" t="inlineStr">
        <is>
          <t>MADISON</t>
        </is>
      </c>
      <c r="G687" s="59" t="n"/>
      <c r="N687" s="59" t="n"/>
      <c r="O687" s="59" t="n"/>
      <c r="X687" s="61" t="n"/>
      <c r="Y687" s="61" t="n"/>
    </row>
    <row r="688" ht="14.25" customHeight="1" s="86">
      <c r="E688" s="53" t="inlineStr">
        <is>
          <t>ID</t>
        </is>
      </c>
      <c r="F688" s="53" t="inlineStr">
        <is>
          <t>MINIDOKA</t>
        </is>
      </c>
      <c r="G688" s="59" t="n"/>
      <c r="N688" s="59" t="n"/>
      <c r="O688" s="59" t="n"/>
      <c r="X688" s="61" t="n"/>
      <c r="Y688" s="61" t="n"/>
    </row>
    <row r="689" ht="14.25" customHeight="1" s="86">
      <c r="E689" s="53" t="inlineStr">
        <is>
          <t>ID</t>
        </is>
      </c>
      <c r="F689" s="53" t="inlineStr">
        <is>
          <t>NEZ PERCE</t>
        </is>
      </c>
      <c r="G689" s="59" t="n"/>
      <c r="N689" s="59" t="n"/>
      <c r="O689" s="59" t="n"/>
      <c r="X689" s="61" t="n"/>
      <c r="Y689" s="61" t="n"/>
    </row>
    <row r="690" ht="14.25" customHeight="1" s="86">
      <c r="E690" s="53" t="inlineStr">
        <is>
          <t>ID</t>
        </is>
      </c>
      <c r="F690" s="53" t="inlineStr">
        <is>
          <t>ONEIDA</t>
        </is>
      </c>
      <c r="G690" s="59" t="n"/>
      <c r="N690" s="59" t="n"/>
      <c r="O690" s="59" t="n"/>
      <c r="X690" s="61" t="n"/>
      <c r="Y690" s="61" t="n"/>
    </row>
    <row r="691" ht="14.25" customHeight="1" s="86">
      <c r="E691" s="53" t="inlineStr">
        <is>
          <t>ID</t>
        </is>
      </c>
      <c r="F691" s="53" t="inlineStr">
        <is>
          <t>OWYHEE</t>
        </is>
      </c>
      <c r="G691" s="59" t="n"/>
      <c r="N691" s="59" t="n"/>
      <c r="O691" s="59" t="n"/>
      <c r="X691" s="61" t="n"/>
      <c r="Y691" s="61" t="n"/>
    </row>
    <row r="692" ht="14.25" customHeight="1" s="86">
      <c r="E692" s="53" t="inlineStr">
        <is>
          <t>ID</t>
        </is>
      </c>
      <c r="F692" s="53" t="inlineStr">
        <is>
          <t>PAYETTE</t>
        </is>
      </c>
      <c r="G692" s="59" t="n"/>
      <c r="N692" s="59" t="n"/>
      <c r="O692" s="59" t="n"/>
      <c r="X692" s="61" t="n"/>
      <c r="Y692" s="61" t="n"/>
    </row>
    <row r="693" ht="14.25" customHeight="1" s="86">
      <c r="E693" s="53" t="inlineStr">
        <is>
          <t>ID</t>
        </is>
      </c>
      <c r="F693" s="53" t="inlineStr">
        <is>
          <t>POWER</t>
        </is>
      </c>
      <c r="G693" s="59" t="n"/>
      <c r="N693" s="59" t="n"/>
      <c r="O693" s="59" t="n"/>
      <c r="X693" s="61" t="n"/>
      <c r="Y693" s="61" t="n"/>
    </row>
    <row r="694" ht="14.25" customHeight="1" s="86">
      <c r="E694" s="53" t="inlineStr">
        <is>
          <t>ID</t>
        </is>
      </c>
      <c r="F694" s="53" t="inlineStr">
        <is>
          <t>SHOSHONE</t>
        </is>
      </c>
      <c r="G694" s="59" t="n"/>
      <c r="N694" s="59" t="n"/>
      <c r="O694" s="59" t="n"/>
      <c r="X694" s="61" t="n"/>
      <c r="Y694" s="61" t="n"/>
    </row>
    <row r="695" ht="14.25" customHeight="1" s="86">
      <c r="E695" s="53" t="inlineStr">
        <is>
          <t>ID</t>
        </is>
      </c>
      <c r="F695" s="53" t="inlineStr">
        <is>
          <t>TETON</t>
        </is>
      </c>
      <c r="G695" s="59" t="n"/>
      <c r="N695" s="59" t="n"/>
      <c r="O695" s="59" t="n"/>
      <c r="X695" s="61" t="n"/>
      <c r="Y695" s="61" t="n"/>
    </row>
    <row r="696" ht="14.25" customHeight="1" s="86">
      <c r="E696" s="53" t="inlineStr">
        <is>
          <t>ID</t>
        </is>
      </c>
      <c r="F696" s="53" t="inlineStr">
        <is>
          <t>TWIN FALLS</t>
        </is>
      </c>
      <c r="G696" s="59" t="n"/>
      <c r="N696" s="59" t="n"/>
      <c r="O696" s="59" t="n"/>
      <c r="X696" s="61" t="n"/>
      <c r="Y696" s="61" t="n"/>
    </row>
    <row r="697" ht="14.25" customHeight="1" s="86">
      <c r="E697" s="53" t="inlineStr">
        <is>
          <t>ID</t>
        </is>
      </c>
      <c r="F697" s="53" t="inlineStr">
        <is>
          <t>VALLEY</t>
        </is>
      </c>
      <c r="G697" s="59" t="n"/>
      <c r="N697" s="59" t="n"/>
      <c r="O697" s="59" t="n"/>
      <c r="X697" s="61" t="n"/>
      <c r="Y697" s="61" t="n"/>
    </row>
    <row r="698" ht="14.25" customHeight="1" s="86">
      <c r="E698" s="53" t="inlineStr">
        <is>
          <t>ID</t>
        </is>
      </c>
      <c r="F698" s="53" t="inlineStr">
        <is>
          <t>WASHINGTON</t>
        </is>
      </c>
      <c r="G698" s="59" t="n"/>
      <c r="N698" s="59" t="n"/>
      <c r="O698" s="59" t="n"/>
      <c r="X698" s="61" t="n"/>
      <c r="Y698" s="61" t="n"/>
    </row>
    <row r="699" ht="14.25" customHeight="1" s="86">
      <c r="E699" s="53" t="inlineStr">
        <is>
          <t>IL</t>
        </is>
      </c>
      <c r="F699" s="53" t="inlineStr">
        <is>
          <t>ADAMS</t>
        </is>
      </c>
      <c r="G699" s="59" t="n"/>
      <c r="N699" s="59" t="n"/>
      <c r="O699" s="59" t="n"/>
      <c r="X699" s="61" t="n"/>
      <c r="Y699" s="61" t="n"/>
    </row>
    <row r="700" ht="14.25" customHeight="1" s="86">
      <c r="E700" s="53" t="inlineStr">
        <is>
          <t>IL</t>
        </is>
      </c>
      <c r="F700" s="53" t="inlineStr">
        <is>
          <t>ALEXANDER</t>
        </is>
      </c>
      <c r="G700" s="59" t="n"/>
      <c r="N700" s="59" t="n"/>
      <c r="O700" s="59" t="n"/>
      <c r="X700" s="61" t="n"/>
      <c r="Y700" s="61" t="n"/>
    </row>
    <row r="701" ht="14.25" customHeight="1" s="86">
      <c r="E701" s="53" t="inlineStr">
        <is>
          <t>IL</t>
        </is>
      </c>
      <c r="F701" s="53" t="inlineStr">
        <is>
          <t>BOND</t>
        </is>
      </c>
      <c r="G701" s="59" t="n"/>
      <c r="N701" s="59" t="n"/>
      <c r="O701" s="59" t="n"/>
      <c r="X701" s="61" t="n"/>
      <c r="Y701" s="61" t="n"/>
    </row>
    <row r="702" ht="14.25" customHeight="1" s="86">
      <c r="E702" s="53" t="inlineStr">
        <is>
          <t>IL</t>
        </is>
      </c>
      <c r="F702" s="53" t="inlineStr">
        <is>
          <t>BOONE</t>
        </is>
      </c>
      <c r="G702" s="59" t="n"/>
      <c r="N702" s="59" t="n"/>
      <c r="O702" s="59" t="n"/>
      <c r="X702" s="61" t="n"/>
      <c r="Y702" s="61" t="n"/>
    </row>
    <row r="703" ht="14.25" customHeight="1" s="86">
      <c r="E703" s="53" t="inlineStr">
        <is>
          <t>IL</t>
        </is>
      </c>
      <c r="F703" s="53" t="inlineStr">
        <is>
          <t>BROWN</t>
        </is>
      </c>
      <c r="G703" s="59" t="n"/>
      <c r="N703" s="59" t="n"/>
      <c r="O703" s="59" t="n"/>
      <c r="X703" s="61" t="n"/>
      <c r="Y703" s="61" t="n"/>
    </row>
    <row r="704" ht="14.25" customHeight="1" s="86">
      <c r="E704" s="53" t="inlineStr">
        <is>
          <t>IL</t>
        </is>
      </c>
      <c r="F704" s="53" t="inlineStr">
        <is>
          <t>BUREAU</t>
        </is>
      </c>
      <c r="G704" s="59" t="n"/>
      <c r="N704" s="59" t="n"/>
      <c r="O704" s="59" t="n"/>
      <c r="X704" s="61" t="n"/>
      <c r="Y704" s="61" t="n"/>
    </row>
    <row r="705" ht="14.25" customHeight="1" s="86">
      <c r="E705" s="53" t="inlineStr">
        <is>
          <t>IL</t>
        </is>
      </c>
      <c r="F705" s="53" t="inlineStr">
        <is>
          <t>CALHOUN</t>
        </is>
      </c>
      <c r="G705" s="59" t="n"/>
      <c r="N705" s="59" t="n"/>
      <c r="O705" s="59" t="n"/>
      <c r="X705" s="61" t="n"/>
      <c r="Y705" s="61" t="n"/>
    </row>
    <row r="706" ht="14.25" customHeight="1" s="86">
      <c r="E706" s="53" t="inlineStr">
        <is>
          <t>IL</t>
        </is>
      </c>
      <c r="F706" s="53" t="inlineStr">
        <is>
          <t>CARROLL</t>
        </is>
      </c>
      <c r="G706" s="59" t="n"/>
      <c r="N706" s="59" t="n"/>
      <c r="O706" s="59" t="n"/>
      <c r="X706" s="61" t="n"/>
      <c r="Y706" s="61" t="n"/>
    </row>
    <row r="707" ht="14.25" customHeight="1" s="86">
      <c r="E707" s="53" t="inlineStr">
        <is>
          <t>IL</t>
        </is>
      </c>
      <c r="F707" s="53" t="inlineStr">
        <is>
          <t>CASS</t>
        </is>
      </c>
      <c r="G707" s="59" t="n"/>
      <c r="N707" s="59" t="n"/>
      <c r="O707" s="59" t="n"/>
      <c r="X707" s="61" t="n"/>
      <c r="Y707" s="61" t="n"/>
    </row>
    <row r="708" ht="14.25" customHeight="1" s="86">
      <c r="E708" s="53" t="inlineStr">
        <is>
          <t>IL</t>
        </is>
      </c>
      <c r="F708" s="53" t="inlineStr">
        <is>
          <t>CHAMPAIGN</t>
        </is>
      </c>
      <c r="G708" s="59" t="n"/>
      <c r="N708" s="59" t="n"/>
      <c r="O708" s="59" t="n"/>
      <c r="X708" s="61" t="n"/>
      <c r="Y708" s="61" t="n"/>
    </row>
    <row r="709" ht="14.25" customHeight="1" s="86">
      <c r="E709" s="53" t="inlineStr">
        <is>
          <t>IL</t>
        </is>
      </c>
      <c r="F709" s="53" t="inlineStr">
        <is>
          <t>CHRISTIAN</t>
        </is>
      </c>
      <c r="G709" s="59" t="n"/>
      <c r="N709" s="59" t="n"/>
      <c r="O709" s="59" t="n"/>
      <c r="X709" s="61" t="n"/>
      <c r="Y709" s="61" t="n"/>
    </row>
    <row r="710" ht="14.25" customHeight="1" s="86">
      <c r="E710" s="53" t="inlineStr">
        <is>
          <t>IL</t>
        </is>
      </c>
      <c r="F710" s="53" t="inlineStr">
        <is>
          <t>CLARK</t>
        </is>
      </c>
      <c r="G710" s="59" t="n"/>
      <c r="N710" s="59" t="n"/>
      <c r="O710" s="59" t="n"/>
      <c r="X710" s="61" t="n"/>
      <c r="Y710" s="61" t="n"/>
    </row>
    <row r="711" ht="14.25" customHeight="1" s="86">
      <c r="E711" s="53" t="inlineStr">
        <is>
          <t>IL</t>
        </is>
      </c>
      <c r="F711" s="53" t="inlineStr">
        <is>
          <t>CLAY</t>
        </is>
      </c>
      <c r="G711" s="59" t="n"/>
      <c r="N711" s="59" t="n"/>
      <c r="O711" s="59" t="n"/>
      <c r="X711" s="61" t="n"/>
      <c r="Y711" s="61" t="n"/>
    </row>
    <row r="712" ht="14.25" customHeight="1" s="86">
      <c r="E712" s="53" t="inlineStr">
        <is>
          <t>IL</t>
        </is>
      </c>
      <c r="F712" s="53" t="inlineStr">
        <is>
          <t>CLINTON</t>
        </is>
      </c>
      <c r="G712" s="59" t="n"/>
      <c r="N712" s="59" t="n"/>
      <c r="O712" s="59" t="n"/>
      <c r="X712" s="61" t="n"/>
      <c r="Y712" s="61" t="n"/>
    </row>
    <row r="713" ht="14.25" customHeight="1" s="86">
      <c r="E713" s="53" t="inlineStr">
        <is>
          <t>IL</t>
        </is>
      </c>
      <c r="F713" s="53" t="inlineStr">
        <is>
          <t>COLES</t>
        </is>
      </c>
      <c r="G713" s="59" t="n"/>
      <c r="N713" s="59" t="n"/>
      <c r="O713" s="59" t="n"/>
      <c r="X713" s="61" t="n"/>
      <c r="Y713" s="61" t="n"/>
    </row>
    <row r="714" ht="14.25" customHeight="1" s="86">
      <c r="E714" s="53" t="inlineStr">
        <is>
          <t>IL</t>
        </is>
      </c>
      <c r="F714" s="53" t="inlineStr">
        <is>
          <t>COOK</t>
        </is>
      </c>
      <c r="G714" s="59" t="n"/>
      <c r="N714" s="59" t="n"/>
      <c r="O714" s="59" t="n"/>
      <c r="X714" s="61" t="n"/>
      <c r="Y714" s="61" t="n"/>
    </row>
    <row r="715" ht="14.25" customHeight="1" s="86">
      <c r="E715" s="53" t="inlineStr">
        <is>
          <t>IL</t>
        </is>
      </c>
      <c r="F715" s="53" t="inlineStr">
        <is>
          <t>CRAWFORD</t>
        </is>
      </c>
      <c r="G715" s="59" t="n"/>
      <c r="N715" s="59" t="n"/>
      <c r="O715" s="59" t="n"/>
      <c r="X715" s="61" t="n"/>
      <c r="Y715" s="61" t="n"/>
    </row>
    <row r="716" ht="14.25" customHeight="1" s="86">
      <c r="E716" s="53" t="inlineStr">
        <is>
          <t>IL</t>
        </is>
      </c>
      <c r="F716" s="53" t="inlineStr">
        <is>
          <t>CUMBERLAND</t>
        </is>
      </c>
      <c r="G716" s="59" t="n"/>
      <c r="N716" s="59" t="n"/>
      <c r="O716" s="59" t="n"/>
      <c r="X716" s="61" t="n"/>
      <c r="Y716" s="61" t="n"/>
    </row>
    <row r="717" ht="14.25" customHeight="1" s="86">
      <c r="E717" s="53" t="inlineStr">
        <is>
          <t>IL</t>
        </is>
      </c>
      <c r="F717" s="53" t="inlineStr">
        <is>
          <t>DEKALB</t>
        </is>
      </c>
      <c r="G717" s="59" t="n"/>
      <c r="N717" s="59" t="n"/>
      <c r="O717" s="59" t="n"/>
      <c r="X717" s="61" t="n"/>
      <c r="Y717" s="61" t="n"/>
    </row>
    <row r="718" ht="14.25" customHeight="1" s="86">
      <c r="E718" s="53" t="inlineStr">
        <is>
          <t>IL</t>
        </is>
      </c>
      <c r="F718" s="53" t="inlineStr">
        <is>
          <t>DEWITT</t>
        </is>
      </c>
      <c r="G718" s="59" t="n"/>
      <c r="N718" s="59" t="n"/>
      <c r="O718" s="59" t="n"/>
      <c r="X718" s="61" t="n"/>
      <c r="Y718" s="61" t="n"/>
    </row>
    <row r="719" ht="14.25" customHeight="1" s="86">
      <c r="E719" s="53" t="inlineStr">
        <is>
          <t>IL</t>
        </is>
      </c>
      <c r="F719" s="53" t="inlineStr">
        <is>
          <t>DOUGLAS</t>
        </is>
      </c>
      <c r="G719" s="59" t="n"/>
      <c r="N719" s="59" t="n"/>
      <c r="O719" s="59" t="n"/>
      <c r="X719" s="61" t="n"/>
      <c r="Y719" s="61" t="n"/>
    </row>
    <row r="720" ht="14.25" customHeight="1" s="86">
      <c r="E720" s="53" t="inlineStr">
        <is>
          <t>IL</t>
        </is>
      </c>
      <c r="F720" s="53" t="inlineStr">
        <is>
          <t>DUPAGE</t>
        </is>
      </c>
      <c r="G720" s="59" t="n"/>
      <c r="N720" s="59" t="n"/>
      <c r="O720" s="59" t="n"/>
      <c r="X720" s="61" t="n"/>
      <c r="Y720" s="61" t="n"/>
    </row>
    <row r="721" ht="14.25" customHeight="1" s="86">
      <c r="E721" s="53" t="inlineStr">
        <is>
          <t>IL</t>
        </is>
      </c>
      <c r="F721" s="53" t="inlineStr">
        <is>
          <t>EDGAR</t>
        </is>
      </c>
      <c r="G721" s="59" t="n"/>
      <c r="N721" s="59" t="n"/>
      <c r="O721" s="59" t="n"/>
      <c r="X721" s="61" t="n"/>
      <c r="Y721" s="61" t="n"/>
    </row>
    <row r="722" ht="14.25" customHeight="1" s="86">
      <c r="E722" s="53" t="inlineStr">
        <is>
          <t>IL</t>
        </is>
      </c>
      <c r="F722" s="53" t="inlineStr">
        <is>
          <t>EDWARDS</t>
        </is>
      </c>
      <c r="G722" s="59" t="n"/>
      <c r="N722" s="59" t="n"/>
      <c r="O722" s="59" t="n"/>
      <c r="X722" s="61" t="n"/>
      <c r="Y722" s="61" t="n"/>
    </row>
    <row r="723" ht="14.25" customHeight="1" s="86">
      <c r="E723" s="53" t="inlineStr">
        <is>
          <t>IL</t>
        </is>
      </c>
      <c r="F723" s="53" t="inlineStr">
        <is>
          <t>EFFINGHAM</t>
        </is>
      </c>
      <c r="G723" s="59" t="n"/>
      <c r="N723" s="59" t="n"/>
      <c r="O723" s="59" t="n"/>
      <c r="X723" s="61" t="n"/>
      <c r="Y723" s="61" t="n"/>
    </row>
    <row r="724" ht="14.25" customHeight="1" s="86">
      <c r="E724" s="53" t="inlineStr">
        <is>
          <t>IL</t>
        </is>
      </c>
      <c r="F724" s="53" t="inlineStr">
        <is>
          <t>FAYETTE</t>
        </is>
      </c>
      <c r="G724" s="59" t="n"/>
      <c r="N724" s="59" t="n"/>
      <c r="O724" s="59" t="n"/>
      <c r="X724" s="61" t="n"/>
      <c r="Y724" s="61" t="n"/>
    </row>
    <row r="725" ht="14.25" customHeight="1" s="86">
      <c r="E725" s="53" t="inlineStr">
        <is>
          <t>IL</t>
        </is>
      </c>
      <c r="F725" s="53" t="inlineStr">
        <is>
          <t>FORD</t>
        </is>
      </c>
      <c r="G725" s="59" t="n"/>
      <c r="N725" s="59" t="n"/>
      <c r="O725" s="59" t="n"/>
      <c r="X725" s="61" t="n"/>
      <c r="Y725" s="61" t="n"/>
    </row>
    <row r="726" ht="14.25" customHeight="1" s="86">
      <c r="E726" s="53" t="inlineStr">
        <is>
          <t>IL</t>
        </is>
      </c>
      <c r="F726" s="53" t="inlineStr">
        <is>
          <t>FRANKLIN</t>
        </is>
      </c>
      <c r="G726" s="59" t="n"/>
      <c r="N726" s="59" t="n"/>
      <c r="O726" s="59" t="n"/>
      <c r="X726" s="61" t="n"/>
      <c r="Y726" s="61" t="n"/>
    </row>
    <row r="727" ht="14.25" customHeight="1" s="86">
      <c r="E727" s="53" t="inlineStr">
        <is>
          <t>IL</t>
        </is>
      </c>
      <c r="F727" s="53" t="inlineStr">
        <is>
          <t>FULTON</t>
        </is>
      </c>
      <c r="G727" s="59" t="n"/>
      <c r="N727" s="59" t="n"/>
      <c r="O727" s="59" t="n"/>
      <c r="X727" s="61" t="n"/>
      <c r="Y727" s="61" t="n"/>
    </row>
    <row r="728" ht="14.25" customHeight="1" s="86">
      <c r="E728" s="53" t="inlineStr">
        <is>
          <t>IL</t>
        </is>
      </c>
      <c r="F728" s="53" t="inlineStr">
        <is>
          <t>GALLATIN</t>
        </is>
      </c>
      <c r="G728" s="59" t="n"/>
      <c r="N728" s="59" t="n"/>
      <c r="O728" s="59" t="n"/>
      <c r="X728" s="61" t="n"/>
      <c r="Y728" s="61" t="n"/>
    </row>
    <row r="729" ht="14.25" customHeight="1" s="86">
      <c r="E729" s="53" t="inlineStr">
        <is>
          <t>IL</t>
        </is>
      </c>
      <c r="F729" s="53" t="inlineStr">
        <is>
          <t>GREENE</t>
        </is>
      </c>
      <c r="G729" s="59" t="n"/>
      <c r="N729" s="59" t="n"/>
      <c r="O729" s="59" t="n"/>
      <c r="X729" s="61" t="n"/>
      <c r="Y729" s="61" t="n"/>
    </row>
    <row r="730" ht="14.25" customHeight="1" s="86">
      <c r="E730" s="53" t="inlineStr">
        <is>
          <t>IL</t>
        </is>
      </c>
      <c r="F730" s="53" t="inlineStr">
        <is>
          <t>GRUNDY</t>
        </is>
      </c>
      <c r="G730" s="59" t="n"/>
      <c r="N730" s="59" t="n"/>
      <c r="O730" s="59" t="n"/>
      <c r="X730" s="61" t="n"/>
      <c r="Y730" s="61" t="n"/>
    </row>
    <row r="731" ht="14.25" customHeight="1" s="86">
      <c r="E731" s="53" t="inlineStr">
        <is>
          <t>IL</t>
        </is>
      </c>
      <c r="F731" s="53" t="inlineStr">
        <is>
          <t>HAMILTON</t>
        </is>
      </c>
      <c r="G731" s="59" t="n"/>
      <c r="N731" s="59" t="n"/>
      <c r="O731" s="59" t="n"/>
      <c r="X731" s="61" t="n"/>
      <c r="Y731" s="61" t="n"/>
    </row>
    <row r="732" ht="14.25" customHeight="1" s="86">
      <c r="E732" s="53" t="inlineStr">
        <is>
          <t>IL</t>
        </is>
      </c>
      <c r="F732" s="53" t="inlineStr">
        <is>
          <t>HANCOCK</t>
        </is>
      </c>
      <c r="G732" s="59" t="n"/>
      <c r="N732" s="59" t="n"/>
      <c r="O732" s="59" t="n"/>
      <c r="X732" s="61" t="n"/>
      <c r="Y732" s="61" t="n"/>
    </row>
    <row r="733" ht="14.25" customHeight="1" s="86">
      <c r="E733" s="53" t="inlineStr">
        <is>
          <t>IL</t>
        </is>
      </c>
      <c r="F733" s="53" t="inlineStr">
        <is>
          <t>HARDIN</t>
        </is>
      </c>
      <c r="G733" s="59" t="n"/>
      <c r="N733" s="59" t="n"/>
      <c r="O733" s="59" t="n"/>
      <c r="X733" s="61" t="n"/>
      <c r="Y733" s="61" t="n"/>
    </row>
    <row r="734" ht="14.25" customHeight="1" s="86">
      <c r="E734" s="53" t="inlineStr">
        <is>
          <t>IL</t>
        </is>
      </c>
      <c r="F734" s="53" t="inlineStr">
        <is>
          <t>HENDERSON</t>
        </is>
      </c>
      <c r="G734" s="59" t="n"/>
      <c r="N734" s="59" t="n"/>
      <c r="O734" s="59" t="n"/>
      <c r="X734" s="61" t="n"/>
      <c r="Y734" s="61" t="n"/>
    </row>
    <row r="735" ht="14.25" customHeight="1" s="86">
      <c r="E735" s="53" t="inlineStr">
        <is>
          <t>IL</t>
        </is>
      </c>
      <c r="F735" s="53" t="inlineStr">
        <is>
          <t>HENRY</t>
        </is>
      </c>
      <c r="G735" s="59" t="n"/>
      <c r="N735" s="59" t="n"/>
      <c r="O735" s="59" t="n"/>
      <c r="X735" s="61" t="n"/>
      <c r="Y735" s="61" t="n"/>
    </row>
    <row r="736" ht="14.25" customHeight="1" s="86">
      <c r="E736" s="53" t="inlineStr">
        <is>
          <t>IL</t>
        </is>
      </c>
      <c r="F736" s="53" t="inlineStr">
        <is>
          <t>IROQUOIS</t>
        </is>
      </c>
      <c r="G736" s="59" t="n"/>
      <c r="N736" s="59" t="n"/>
      <c r="O736" s="59" t="n"/>
      <c r="X736" s="61" t="n"/>
      <c r="Y736" s="61" t="n"/>
    </row>
    <row r="737" ht="14.25" customHeight="1" s="86">
      <c r="E737" s="53" t="inlineStr">
        <is>
          <t>IL</t>
        </is>
      </c>
      <c r="F737" s="53" t="inlineStr">
        <is>
          <t>JACKSON</t>
        </is>
      </c>
      <c r="G737" s="59" t="n"/>
      <c r="N737" s="59" t="n"/>
      <c r="O737" s="59" t="n"/>
      <c r="X737" s="61" t="n"/>
      <c r="Y737" s="61" t="n"/>
    </row>
    <row r="738" ht="14.25" customHeight="1" s="86">
      <c r="E738" s="53" t="inlineStr">
        <is>
          <t>IL</t>
        </is>
      </c>
      <c r="F738" s="53" t="inlineStr">
        <is>
          <t>JASPER</t>
        </is>
      </c>
      <c r="G738" s="59" t="n"/>
      <c r="N738" s="59" t="n"/>
      <c r="O738" s="59" t="n"/>
      <c r="X738" s="61" t="n"/>
      <c r="Y738" s="61" t="n"/>
    </row>
    <row r="739" ht="14.25" customHeight="1" s="86">
      <c r="E739" s="53" t="inlineStr">
        <is>
          <t>IL</t>
        </is>
      </c>
      <c r="F739" s="53" t="inlineStr">
        <is>
          <t>JEFFERSON</t>
        </is>
      </c>
      <c r="G739" s="59" t="n"/>
      <c r="N739" s="59" t="n"/>
      <c r="O739" s="59" t="n"/>
      <c r="X739" s="61" t="n"/>
      <c r="Y739" s="61" t="n"/>
    </row>
    <row r="740" ht="14.25" customHeight="1" s="86">
      <c r="E740" s="53" t="inlineStr">
        <is>
          <t>IL</t>
        </is>
      </c>
      <c r="F740" s="53" t="inlineStr">
        <is>
          <t>JERSEY</t>
        </is>
      </c>
      <c r="G740" s="59" t="n"/>
      <c r="N740" s="59" t="n"/>
      <c r="O740" s="59" t="n"/>
      <c r="X740" s="61" t="n"/>
      <c r="Y740" s="61" t="n"/>
    </row>
    <row r="741" ht="14.25" customHeight="1" s="86">
      <c r="E741" s="53" t="inlineStr">
        <is>
          <t>IL</t>
        </is>
      </c>
      <c r="F741" s="53" t="inlineStr">
        <is>
          <t>JO DAVIESS</t>
        </is>
      </c>
      <c r="G741" s="59" t="n"/>
      <c r="N741" s="59" t="n"/>
      <c r="O741" s="59" t="n"/>
      <c r="X741" s="61" t="n"/>
      <c r="Y741" s="61" t="n"/>
    </row>
    <row r="742" ht="14.25" customHeight="1" s="86">
      <c r="E742" s="53" t="inlineStr">
        <is>
          <t>IL</t>
        </is>
      </c>
      <c r="F742" s="53" t="inlineStr">
        <is>
          <t>JOHNSON</t>
        </is>
      </c>
      <c r="G742" s="59" t="n"/>
      <c r="N742" s="59" t="n"/>
      <c r="O742" s="59" t="n"/>
      <c r="X742" s="61" t="n"/>
      <c r="Y742" s="61" t="n"/>
    </row>
    <row r="743" ht="14.25" customHeight="1" s="86">
      <c r="E743" s="53" t="inlineStr">
        <is>
          <t>IL</t>
        </is>
      </c>
      <c r="F743" s="53" t="inlineStr">
        <is>
          <t>KANE</t>
        </is>
      </c>
      <c r="G743" s="59" t="n"/>
      <c r="N743" s="59" t="n"/>
      <c r="O743" s="59" t="n"/>
      <c r="X743" s="61" t="n"/>
      <c r="Y743" s="61" t="n"/>
    </row>
    <row r="744" ht="14.25" customHeight="1" s="86">
      <c r="E744" s="53" t="inlineStr">
        <is>
          <t>IL</t>
        </is>
      </c>
      <c r="F744" s="53" t="inlineStr">
        <is>
          <t>KANKAKEE</t>
        </is>
      </c>
      <c r="G744" s="59" t="n"/>
      <c r="N744" s="59" t="n"/>
      <c r="O744" s="59" t="n"/>
      <c r="X744" s="61" t="n"/>
      <c r="Y744" s="61" t="n"/>
    </row>
    <row r="745" ht="14.25" customHeight="1" s="86">
      <c r="E745" s="53" t="inlineStr">
        <is>
          <t>IL</t>
        </is>
      </c>
      <c r="F745" s="53" t="inlineStr">
        <is>
          <t>KENDALL</t>
        </is>
      </c>
      <c r="G745" s="59" t="n"/>
      <c r="N745" s="59" t="n"/>
      <c r="O745" s="59" t="n"/>
      <c r="X745" s="61" t="n"/>
      <c r="Y745" s="61" t="n"/>
    </row>
    <row r="746" ht="14.25" customHeight="1" s="86">
      <c r="E746" s="53" t="inlineStr">
        <is>
          <t>IL</t>
        </is>
      </c>
      <c r="F746" s="53" t="inlineStr">
        <is>
          <t>KNOX</t>
        </is>
      </c>
      <c r="G746" s="59" t="n"/>
      <c r="N746" s="59" t="n"/>
      <c r="O746" s="59" t="n"/>
      <c r="X746" s="61" t="n"/>
      <c r="Y746" s="61" t="n"/>
    </row>
    <row r="747" ht="14.25" customHeight="1" s="86">
      <c r="E747" s="53" t="inlineStr">
        <is>
          <t>IL</t>
        </is>
      </c>
      <c r="F747" s="53" t="inlineStr">
        <is>
          <t>LA SALLE</t>
        </is>
      </c>
      <c r="G747" s="59" t="n"/>
      <c r="N747" s="59" t="n"/>
      <c r="O747" s="59" t="n"/>
      <c r="X747" s="61" t="n"/>
      <c r="Y747" s="61" t="n"/>
    </row>
    <row r="748" ht="14.25" customHeight="1" s="86">
      <c r="E748" s="53" t="inlineStr">
        <is>
          <t>IL</t>
        </is>
      </c>
      <c r="F748" s="53" t="inlineStr">
        <is>
          <t>LAKE</t>
        </is>
      </c>
      <c r="G748" s="59" t="n"/>
      <c r="N748" s="59" t="n"/>
      <c r="O748" s="59" t="n"/>
      <c r="X748" s="61" t="n"/>
      <c r="Y748" s="61" t="n"/>
    </row>
    <row r="749" ht="14.25" customHeight="1" s="86">
      <c r="E749" s="53" t="inlineStr">
        <is>
          <t>IL</t>
        </is>
      </c>
      <c r="F749" s="53" t="inlineStr">
        <is>
          <t>LAWRENCE</t>
        </is>
      </c>
      <c r="G749" s="59" t="n"/>
      <c r="N749" s="59" t="n"/>
      <c r="O749" s="59" t="n"/>
      <c r="X749" s="61" t="n"/>
      <c r="Y749" s="61" t="n"/>
    </row>
    <row r="750" ht="14.25" customHeight="1" s="86">
      <c r="E750" s="53" t="inlineStr">
        <is>
          <t>IL</t>
        </is>
      </c>
      <c r="F750" s="53" t="inlineStr">
        <is>
          <t>LEE</t>
        </is>
      </c>
      <c r="G750" s="59" t="n"/>
      <c r="N750" s="59" t="n"/>
      <c r="O750" s="59" t="n"/>
      <c r="X750" s="61" t="n"/>
      <c r="Y750" s="61" t="n"/>
    </row>
    <row r="751" ht="14.25" customHeight="1" s="86">
      <c r="E751" s="53" t="inlineStr">
        <is>
          <t>IL</t>
        </is>
      </c>
      <c r="F751" s="53" t="inlineStr">
        <is>
          <t>LIVINGSTON</t>
        </is>
      </c>
      <c r="G751" s="59" t="n"/>
      <c r="N751" s="59" t="n"/>
      <c r="O751" s="59" t="n"/>
      <c r="X751" s="61" t="n"/>
      <c r="Y751" s="61" t="n"/>
    </row>
    <row r="752" ht="14.25" customHeight="1" s="86">
      <c r="E752" s="53" t="inlineStr">
        <is>
          <t>IL</t>
        </is>
      </c>
      <c r="F752" s="53" t="inlineStr">
        <is>
          <t>LOGAN</t>
        </is>
      </c>
      <c r="G752" s="59" t="n"/>
      <c r="N752" s="59" t="n"/>
      <c r="O752" s="59" t="n"/>
      <c r="X752" s="61" t="n"/>
      <c r="Y752" s="61" t="n"/>
    </row>
    <row r="753" ht="14.25" customHeight="1" s="86">
      <c r="E753" s="53" t="inlineStr">
        <is>
          <t>IL</t>
        </is>
      </c>
      <c r="F753" s="53" t="inlineStr">
        <is>
          <t>MACON</t>
        </is>
      </c>
      <c r="G753" s="59" t="n"/>
      <c r="N753" s="59" t="n"/>
      <c r="O753" s="59" t="n"/>
      <c r="X753" s="61" t="n"/>
      <c r="Y753" s="61" t="n"/>
    </row>
    <row r="754" ht="14.25" customHeight="1" s="86">
      <c r="E754" s="53" t="inlineStr">
        <is>
          <t>IL</t>
        </is>
      </c>
      <c r="F754" s="53" t="inlineStr">
        <is>
          <t>MACOUPIN</t>
        </is>
      </c>
      <c r="G754" s="59" t="n"/>
      <c r="N754" s="59" t="n"/>
      <c r="O754" s="59" t="n"/>
      <c r="X754" s="61" t="n"/>
      <c r="Y754" s="61" t="n"/>
    </row>
    <row r="755" ht="14.25" customHeight="1" s="86">
      <c r="E755" s="53" t="inlineStr">
        <is>
          <t>IL</t>
        </is>
      </c>
      <c r="F755" s="53" t="inlineStr">
        <is>
          <t>MADISON</t>
        </is>
      </c>
      <c r="G755" s="59" t="n"/>
      <c r="N755" s="59" t="n"/>
      <c r="O755" s="59" t="n"/>
      <c r="X755" s="61" t="n"/>
      <c r="Y755" s="61" t="n"/>
    </row>
    <row r="756" ht="14.25" customHeight="1" s="86">
      <c r="E756" s="53" t="inlineStr">
        <is>
          <t>IL</t>
        </is>
      </c>
      <c r="F756" s="53" t="inlineStr">
        <is>
          <t>MARION</t>
        </is>
      </c>
      <c r="G756" s="59" t="n"/>
      <c r="N756" s="59" t="n"/>
      <c r="O756" s="59" t="n"/>
      <c r="X756" s="61" t="n"/>
      <c r="Y756" s="61" t="n"/>
    </row>
    <row r="757" ht="14.25" customHeight="1" s="86">
      <c r="E757" s="53" t="inlineStr">
        <is>
          <t>IL</t>
        </is>
      </c>
      <c r="F757" s="53" t="inlineStr">
        <is>
          <t>MARSHALL</t>
        </is>
      </c>
      <c r="G757" s="59" t="n"/>
      <c r="N757" s="59" t="n"/>
      <c r="O757" s="59" t="n"/>
      <c r="X757" s="61" t="n"/>
      <c r="Y757" s="61" t="n"/>
    </row>
    <row r="758" ht="14.25" customHeight="1" s="86">
      <c r="E758" s="53" t="inlineStr">
        <is>
          <t>IL</t>
        </is>
      </c>
      <c r="F758" s="53" t="inlineStr">
        <is>
          <t>MASON</t>
        </is>
      </c>
      <c r="G758" s="59" t="n"/>
      <c r="N758" s="59" t="n"/>
      <c r="O758" s="59" t="n"/>
      <c r="X758" s="61" t="n"/>
      <c r="Y758" s="61" t="n"/>
    </row>
    <row r="759" ht="14.25" customHeight="1" s="86">
      <c r="E759" s="53" t="inlineStr">
        <is>
          <t>IL</t>
        </is>
      </c>
      <c r="F759" s="53" t="inlineStr">
        <is>
          <t>MASSAC</t>
        </is>
      </c>
      <c r="G759" s="59" t="n"/>
      <c r="N759" s="59" t="n"/>
      <c r="O759" s="59" t="n"/>
      <c r="X759" s="61" t="n"/>
      <c r="Y759" s="61" t="n"/>
    </row>
    <row r="760" ht="14.25" customHeight="1" s="86">
      <c r="E760" s="53" t="inlineStr">
        <is>
          <t>IL</t>
        </is>
      </c>
      <c r="F760" s="53" t="inlineStr">
        <is>
          <t>MCDONOUGH</t>
        </is>
      </c>
      <c r="G760" s="59" t="n"/>
      <c r="N760" s="59" t="n"/>
      <c r="O760" s="59" t="n"/>
      <c r="X760" s="61" t="n"/>
      <c r="Y760" s="61" t="n"/>
    </row>
    <row r="761" ht="14.25" customHeight="1" s="86">
      <c r="E761" s="53" t="inlineStr">
        <is>
          <t>IL</t>
        </is>
      </c>
      <c r="F761" s="53" t="inlineStr">
        <is>
          <t>MCHENRY</t>
        </is>
      </c>
      <c r="G761" s="59" t="n"/>
      <c r="N761" s="59" t="n"/>
      <c r="O761" s="59" t="n"/>
      <c r="X761" s="61" t="n"/>
      <c r="Y761" s="61" t="n"/>
    </row>
    <row r="762" ht="14.25" customHeight="1" s="86">
      <c r="E762" s="53" t="inlineStr">
        <is>
          <t>IL</t>
        </is>
      </c>
      <c r="F762" s="53" t="inlineStr">
        <is>
          <t>MCLEAN</t>
        </is>
      </c>
      <c r="G762" s="59" t="n"/>
      <c r="N762" s="59" t="n"/>
      <c r="O762" s="59" t="n"/>
      <c r="X762" s="61" t="n"/>
      <c r="Y762" s="61" t="n"/>
    </row>
    <row r="763" ht="14.25" customHeight="1" s="86">
      <c r="E763" s="53" t="inlineStr">
        <is>
          <t>IL</t>
        </is>
      </c>
      <c r="F763" s="53" t="inlineStr">
        <is>
          <t>MENARD</t>
        </is>
      </c>
      <c r="G763" s="59" t="n"/>
      <c r="N763" s="59" t="n"/>
      <c r="O763" s="59" t="n"/>
      <c r="X763" s="61" t="n"/>
      <c r="Y763" s="61" t="n"/>
    </row>
    <row r="764" ht="14.25" customHeight="1" s="86">
      <c r="E764" s="53" t="inlineStr">
        <is>
          <t>IL</t>
        </is>
      </c>
      <c r="F764" s="53" t="inlineStr">
        <is>
          <t>MERCER</t>
        </is>
      </c>
      <c r="G764" s="59" t="n"/>
      <c r="N764" s="59" t="n"/>
      <c r="O764" s="59" t="n"/>
      <c r="X764" s="61" t="n"/>
      <c r="Y764" s="61" t="n"/>
    </row>
    <row r="765" ht="14.25" customHeight="1" s="86">
      <c r="E765" s="53" t="inlineStr">
        <is>
          <t>IL</t>
        </is>
      </c>
      <c r="F765" s="53" t="inlineStr">
        <is>
          <t>MONROE</t>
        </is>
      </c>
      <c r="G765" s="59" t="n"/>
      <c r="N765" s="59" t="n"/>
      <c r="O765" s="59" t="n"/>
      <c r="X765" s="61" t="n"/>
      <c r="Y765" s="61" t="n"/>
    </row>
    <row r="766" ht="14.25" customHeight="1" s="86">
      <c r="E766" s="53" t="inlineStr">
        <is>
          <t>IL</t>
        </is>
      </c>
      <c r="F766" s="53" t="inlineStr">
        <is>
          <t>MONTGOMERY</t>
        </is>
      </c>
      <c r="G766" s="59" t="n"/>
      <c r="N766" s="59" t="n"/>
      <c r="O766" s="59" t="n"/>
      <c r="X766" s="61" t="n"/>
      <c r="Y766" s="61" t="n"/>
    </row>
    <row r="767" ht="14.25" customHeight="1" s="86">
      <c r="E767" s="53" t="inlineStr">
        <is>
          <t>IL</t>
        </is>
      </c>
      <c r="F767" s="53" t="inlineStr">
        <is>
          <t>MORGAN</t>
        </is>
      </c>
      <c r="G767" s="59" t="n"/>
      <c r="N767" s="59" t="n"/>
      <c r="O767" s="59" t="n"/>
      <c r="X767" s="61" t="n"/>
      <c r="Y767" s="61" t="n"/>
    </row>
    <row r="768" ht="14.25" customHeight="1" s="86">
      <c r="E768" s="53" t="inlineStr">
        <is>
          <t>IL</t>
        </is>
      </c>
      <c r="F768" s="53" t="inlineStr">
        <is>
          <t>MOULTRIE</t>
        </is>
      </c>
      <c r="G768" s="59" t="n"/>
      <c r="N768" s="59" t="n"/>
      <c r="O768" s="59" t="n"/>
      <c r="X768" s="61" t="n"/>
      <c r="Y768" s="61" t="n"/>
    </row>
    <row r="769" ht="14.25" customHeight="1" s="86">
      <c r="E769" s="53" t="inlineStr">
        <is>
          <t>IL</t>
        </is>
      </c>
      <c r="F769" s="53" t="inlineStr">
        <is>
          <t>OGLE</t>
        </is>
      </c>
      <c r="G769" s="59" t="n"/>
      <c r="N769" s="59" t="n"/>
      <c r="O769" s="59" t="n"/>
      <c r="X769" s="61" t="n"/>
      <c r="Y769" s="61" t="n"/>
    </row>
    <row r="770" ht="14.25" customHeight="1" s="86">
      <c r="E770" s="53" t="inlineStr">
        <is>
          <t>IL</t>
        </is>
      </c>
      <c r="F770" s="53" t="inlineStr">
        <is>
          <t>PEORIA</t>
        </is>
      </c>
      <c r="G770" s="59" t="n"/>
      <c r="N770" s="59" t="n"/>
      <c r="O770" s="59" t="n"/>
      <c r="X770" s="61" t="n"/>
      <c r="Y770" s="61" t="n"/>
    </row>
    <row r="771" ht="14.25" customHeight="1" s="86">
      <c r="E771" s="53" t="inlineStr">
        <is>
          <t>IL</t>
        </is>
      </c>
      <c r="F771" s="53" t="inlineStr">
        <is>
          <t>PERRY</t>
        </is>
      </c>
      <c r="G771" s="59" t="n"/>
      <c r="N771" s="59" t="n"/>
      <c r="O771" s="59" t="n"/>
      <c r="X771" s="61" t="n"/>
      <c r="Y771" s="61" t="n"/>
    </row>
    <row r="772" ht="14.25" customHeight="1" s="86">
      <c r="E772" s="53" t="inlineStr">
        <is>
          <t>IL</t>
        </is>
      </c>
      <c r="F772" s="53" t="inlineStr">
        <is>
          <t>PIATT</t>
        </is>
      </c>
      <c r="G772" s="59" t="n"/>
      <c r="N772" s="59" t="n"/>
      <c r="O772" s="59" t="n"/>
      <c r="X772" s="61" t="n"/>
      <c r="Y772" s="61" t="n"/>
    </row>
    <row r="773" ht="14.25" customHeight="1" s="86">
      <c r="E773" s="53" t="inlineStr">
        <is>
          <t>IL</t>
        </is>
      </c>
      <c r="F773" s="53" t="inlineStr">
        <is>
          <t>PIKE</t>
        </is>
      </c>
      <c r="G773" s="59" t="n"/>
      <c r="N773" s="59" t="n"/>
      <c r="O773" s="59" t="n"/>
      <c r="X773" s="61" t="n"/>
      <c r="Y773" s="61" t="n"/>
    </row>
    <row r="774" ht="14.25" customHeight="1" s="86">
      <c r="E774" s="53" t="inlineStr">
        <is>
          <t>IL</t>
        </is>
      </c>
      <c r="F774" s="53" t="inlineStr">
        <is>
          <t>POPE</t>
        </is>
      </c>
      <c r="G774" s="59" t="n"/>
      <c r="N774" s="59" t="n"/>
      <c r="O774" s="59" t="n"/>
      <c r="X774" s="61" t="n"/>
      <c r="Y774" s="61" t="n"/>
    </row>
    <row r="775" ht="14.25" customHeight="1" s="86">
      <c r="E775" s="53" t="inlineStr">
        <is>
          <t>IL</t>
        </is>
      </c>
      <c r="F775" s="53" t="inlineStr">
        <is>
          <t>PULASKI</t>
        </is>
      </c>
      <c r="G775" s="59" t="n"/>
      <c r="N775" s="59" t="n"/>
      <c r="O775" s="59" t="n"/>
      <c r="X775" s="61" t="n"/>
      <c r="Y775" s="61" t="n"/>
    </row>
    <row r="776" ht="14.25" customHeight="1" s="86">
      <c r="E776" s="53" t="inlineStr">
        <is>
          <t>IL</t>
        </is>
      </c>
      <c r="F776" s="53" t="inlineStr">
        <is>
          <t>PUTNAM</t>
        </is>
      </c>
      <c r="G776" s="59" t="n"/>
      <c r="N776" s="59" t="n"/>
      <c r="O776" s="59" t="n"/>
      <c r="X776" s="61" t="n"/>
      <c r="Y776" s="61" t="n"/>
    </row>
    <row r="777" ht="14.25" customHeight="1" s="86">
      <c r="E777" s="53" t="inlineStr">
        <is>
          <t>IL</t>
        </is>
      </c>
      <c r="F777" s="53" t="inlineStr">
        <is>
          <t>RANDOLPH</t>
        </is>
      </c>
      <c r="G777" s="59" t="n"/>
      <c r="N777" s="59" t="n"/>
      <c r="O777" s="59" t="n"/>
      <c r="X777" s="61" t="n"/>
      <c r="Y777" s="61" t="n"/>
    </row>
    <row r="778" ht="14.25" customHeight="1" s="86">
      <c r="E778" s="53" t="inlineStr">
        <is>
          <t>IL</t>
        </is>
      </c>
      <c r="F778" s="53" t="inlineStr">
        <is>
          <t>RICHLAND</t>
        </is>
      </c>
      <c r="G778" s="59" t="n"/>
      <c r="N778" s="59" t="n"/>
      <c r="O778" s="59" t="n"/>
      <c r="X778" s="61" t="n"/>
      <c r="Y778" s="61" t="n"/>
    </row>
    <row r="779" ht="14.25" customHeight="1" s="86">
      <c r="E779" s="53" t="inlineStr">
        <is>
          <t>IL</t>
        </is>
      </c>
      <c r="F779" s="53" t="inlineStr">
        <is>
          <t>ROCK ISLAND</t>
        </is>
      </c>
      <c r="G779" s="59" t="n"/>
      <c r="N779" s="59" t="n"/>
      <c r="O779" s="59" t="n"/>
      <c r="X779" s="61" t="n"/>
      <c r="Y779" s="61" t="n"/>
    </row>
    <row r="780" ht="14.25" customHeight="1" s="86">
      <c r="E780" s="53" t="inlineStr">
        <is>
          <t>IL</t>
        </is>
      </c>
      <c r="F780" s="53" t="inlineStr">
        <is>
          <t>SAINT CLAIR</t>
        </is>
      </c>
      <c r="G780" s="59" t="n"/>
      <c r="N780" s="59" t="n"/>
      <c r="O780" s="59" t="n"/>
      <c r="X780" s="61" t="n"/>
      <c r="Y780" s="61" t="n"/>
    </row>
    <row r="781" ht="14.25" customHeight="1" s="86">
      <c r="E781" s="53" t="inlineStr">
        <is>
          <t>IL</t>
        </is>
      </c>
      <c r="F781" s="53" t="inlineStr">
        <is>
          <t>SALINE</t>
        </is>
      </c>
      <c r="G781" s="59" t="n"/>
      <c r="N781" s="59" t="n"/>
      <c r="O781" s="59" t="n"/>
      <c r="X781" s="61" t="n"/>
      <c r="Y781" s="61" t="n"/>
    </row>
    <row r="782" ht="14.25" customHeight="1" s="86">
      <c r="E782" s="53" t="inlineStr">
        <is>
          <t>IL</t>
        </is>
      </c>
      <c r="F782" s="53" t="inlineStr">
        <is>
          <t>SANGAMON</t>
        </is>
      </c>
      <c r="G782" s="59" t="n"/>
      <c r="N782" s="59" t="n"/>
      <c r="O782" s="59" t="n"/>
      <c r="X782" s="61" t="n"/>
      <c r="Y782" s="61" t="n"/>
    </row>
    <row r="783" ht="14.25" customHeight="1" s="86">
      <c r="E783" s="53" t="inlineStr">
        <is>
          <t>IL</t>
        </is>
      </c>
      <c r="F783" s="53" t="inlineStr">
        <is>
          <t>SCHUYLER</t>
        </is>
      </c>
      <c r="G783" s="59" t="n"/>
      <c r="N783" s="59" t="n"/>
      <c r="O783" s="59" t="n"/>
      <c r="X783" s="61" t="n"/>
      <c r="Y783" s="61" t="n"/>
    </row>
    <row r="784" ht="14.25" customHeight="1" s="86">
      <c r="E784" s="53" t="inlineStr">
        <is>
          <t>IL</t>
        </is>
      </c>
      <c r="F784" s="53" t="inlineStr">
        <is>
          <t>SCOTT</t>
        </is>
      </c>
      <c r="G784" s="59" t="n"/>
      <c r="N784" s="59" t="n"/>
      <c r="O784" s="59" t="n"/>
      <c r="X784" s="61" t="n"/>
      <c r="Y784" s="61" t="n"/>
    </row>
    <row r="785" ht="14.25" customHeight="1" s="86">
      <c r="E785" s="53" t="inlineStr">
        <is>
          <t>IL</t>
        </is>
      </c>
      <c r="F785" s="53" t="inlineStr">
        <is>
          <t>SHELBY</t>
        </is>
      </c>
      <c r="G785" s="59" t="n"/>
      <c r="N785" s="59" t="n"/>
      <c r="O785" s="59" t="n"/>
      <c r="X785" s="61" t="n"/>
      <c r="Y785" s="61" t="n"/>
    </row>
    <row r="786" ht="14.25" customHeight="1" s="86">
      <c r="E786" s="53" t="inlineStr">
        <is>
          <t>IL</t>
        </is>
      </c>
      <c r="F786" s="53" t="inlineStr">
        <is>
          <t>STARK</t>
        </is>
      </c>
      <c r="G786" s="59" t="n"/>
      <c r="N786" s="59" t="n"/>
      <c r="O786" s="59" t="n"/>
      <c r="X786" s="61" t="n"/>
      <c r="Y786" s="61" t="n"/>
    </row>
    <row r="787" ht="14.25" customHeight="1" s="86">
      <c r="E787" s="53" t="inlineStr">
        <is>
          <t>IL</t>
        </is>
      </c>
      <c r="F787" s="53" t="inlineStr">
        <is>
          <t>STEPHENSON</t>
        </is>
      </c>
      <c r="G787" s="59" t="n"/>
      <c r="N787" s="59" t="n"/>
      <c r="O787" s="59" t="n"/>
      <c r="X787" s="61" t="n"/>
      <c r="Y787" s="61" t="n"/>
    </row>
    <row r="788" ht="14.25" customHeight="1" s="86">
      <c r="E788" s="53" t="inlineStr">
        <is>
          <t>IL</t>
        </is>
      </c>
      <c r="F788" s="53" t="inlineStr">
        <is>
          <t>TAZEWELL</t>
        </is>
      </c>
      <c r="G788" s="59" t="n"/>
      <c r="N788" s="59" t="n"/>
      <c r="O788" s="59" t="n"/>
      <c r="X788" s="61" t="n"/>
      <c r="Y788" s="61" t="n"/>
    </row>
    <row r="789" ht="14.25" customHeight="1" s="86">
      <c r="E789" s="53" t="inlineStr">
        <is>
          <t>IL</t>
        </is>
      </c>
      <c r="F789" s="53" t="inlineStr">
        <is>
          <t>UNION</t>
        </is>
      </c>
      <c r="G789" s="59" t="n"/>
      <c r="N789" s="59" t="n"/>
      <c r="O789" s="59" t="n"/>
      <c r="X789" s="61" t="n"/>
      <c r="Y789" s="61" t="n"/>
    </row>
    <row r="790" ht="14.25" customHeight="1" s="86">
      <c r="E790" s="53" t="inlineStr">
        <is>
          <t>IL</t>
        </is>
      </c>
      <c r="F790" s="53" t="inlineStr">
        <is>
          <t>VERMILION</t>
        </is>
      </c>
      <c r="G790" s="59" t="n"/>
      <c r="N790" s="59" t="n"/>
      <c r="O790" s="59" t="n"/>
      <c r="X790" s="61" t="n"/>
      <c r="Y790" s="61" t="n"/>
    </row>
    <row r="791" ht="14.25" customHeight="1" s="86">
      <c r="E791" s="53" t="inlineStr">
        <is>
          <t>IL</t>
        </is>
      </c>
      <c r="F791" s="53" t="inlineStr">
        <is>
          <t>WABASH</t>
        </is>
      </c>
      <c r="G791" s="59" t="n"/>
      <c r="N791" s="59" t="n"/>
      <c r="O791" s="59" t="n"/>
      <c r="X791" s="61" t="n"/>
      <c r="Y791" s="61" t="n"/>
    </row>
    <row r="792" ht="14.25" customHeight="1" s="86">
      <c r="E792" s="53" t="inlineStr">
        <is>
          <t>IL</t>
        </is>
      </c>
      <c r="F792" s="53" t="inlineStr">
        <is>
          <t>WARREN</t>
        </is>
      </c>
      <c r="G792" s="59" t="n"/>
      <c r="N792" s="59" t="n"/>
      <c r="O792" s="59" t="n"/>
      <c r="X792" s="61" t="n"/>
      <c r="Y792" s="61" t="n"/>
    </row>
    <row r="793" ht="14.25" customHeight="1" s="86">
      <c r="E793" s="53" t="inlineStr">
        <is>
          <t>IL</t>
        </is>
      </c>
      <c r="F793" s="53" t="inlineStr">
        <is>
          <t>WASHINGTON</t>
        </is>
      </c>
      <c r="G793" s="59" t="n"/>
      <c r="N793" s="59" t="n"/>
      <c r="O793" s="59" t="n"/>
      <c r="X793" s="61" t="n"/>
      <c r="Y793" s="61" t="n"/>
    </row>
    <row r="794" ht="14.25" customHeight="1" s="86">
      <c r="E794" s="53" t="inlineStr">
        <is>
          <t>IL</t>
        </is>
      </c>
      <c r="F794" s="53" t="inlineStr">
        <is>
          <t>WAYNE</t>
        </is>
      </c>
      <c r="G794" s="59" t="n"/>
      <c r="N794" s="69" t="n"/>
      <c r="O794" s="69" t="n"/>
      <c r="X794" s="61" t="n"/>
      <c r="Y794" s="61" t="n"/>
    </row>
    <row r="795" ht="14.25" customHeight="1" s="86">
      <c r="E795" s="53" t="inlineStr">
        <is>
          <t>IL</t>
        </is>
      </c>
      <c r="F795" s="53" t="inlineStr">
        <is>
          <t>WHITE</t>
        </is>
      </c>
      <c r="G795" s="59" t="n"/>
      <c r="N795" s="69" t="n"/>
      <c r="O795" s="69" t="n"/>
      <c r="X795" s="61" t="n"/>
      <c r="Y795" s="61" t="n"/>
    </row>
    <row r="796" ht="14.25" customHeight="1" s="86">
      <c r="E796" s="53" t="inlineStr">
        <is>
          <t>IL</t>
        </is>
      </c>
      <c r="F796" s="53" t="inlineStr">
        <is>
          <t>WHITESIDE</t>
        </is>
      </c>
      <c r="G796" s="59" t="n"/>
      <c r="N796" s="69" t="n"/>
      <c r="O796" s="69" t="n"/>
      <c r="X796" s="61" t="n"/>
      <c r="Y796" s="61" t="n"/>
    </row>
    <row r="797" ht="14.25" customHeight="1" s="86">
      <c r="E797" s="53" t="inlineStr">
        <is>
          <t>IL</t>
        </is>
      </c>
      <c r="F797" s="53" t="inlineStr">
        <is>
          <t>WILL</t>
        </is>
      </c>
      <c r="G797" s="59" t="n"/>
      <c r="N797" s="69" t="n"/>
      <c r="O797" s="69" t="n"/>
      <c r="X797" s="61" t="n"/>
      <c r="Y797" s="61" t="n"/>
    </row>
    <row r="798" ht="14.25" customHeight="1" s="86">
      <c r="E798" s="53" t="inlineStr">
        <is>
          <t>IL</t>
        </is>
      </c>
      <c r="F798" s="53" t="inlineStr">
        <is>
          <t>WILLIAMSON</t>
        </is>
      </c>
      <c r="G798" s="59" t="n"/>
      <c r="N798" s="69" t="n"/>
      <c r="O798" s="69" t="n"/>
      <c r="X798" s="61" t="n"/>
      <c r="Y798" s="61" t="n"/>
    </row>
    <row r="799" ht="14.25" customHeight="1" s="86">
      <c r="E799" s="53" t="inlineStr">
        <is>
          <t>IL</t>
        </is>
      </c>
      <c r="F799" s="53" t="inlineStr">
        <is>
          <t>WINNEBAGO</t>
        </is>
      </c>
      <c r="G799" s="59" t="n"/>
      <c r="N799" s="69" t="n"/>
      <c r="O799" s="69" t="n"/>
      <c r="X799" s="61" t="n"/>
      <c r="Y799" s="61" t="n"/>
    </row>
    <row r="800" ht="14.25" customHeight="1" s="86">
      <c r="E800" s="53" t="inlineStr">
        <is>
          <t>IL</t>
        </is>
      </c>
      <c r="F800" s="53" t="inlineStr">
        <is>
          <t>WOODFORD</t>
        </is>
      </c>
      <c r="G800" s="59" t="n"/>
      <c r="N800" s="69" t="n"/>
      <c r="O800" s="69" t="n"/>
      <c r="X800" s="61" t="n"/>
      <c r="Y800" s="61" t="n"/>
    </row>
    <row r="801" ht="14.25" customHeight="1" s="86">
      <c r="E801" s="53" t="inlineStr">
        <is>
          <t>IN</t>
        </is>
      </c>
      <c r="F801" s="53" t="inlineStr">
        <is>
          <t>ADAMS</t>
        </is>
      </c>
      <c r="G801" s="59" t="n"/>
      <c r="N801" s="69" t="n"/>
      <c r="O801" s="69" t="n"/>
      <c r="X801" s="61" t="n"/>
      <c r="Y801" s="61" t="n"/>
    </row>
    <row r="802" ht="14.25" customHeight="1" s="86">
      <c r="E802" s="53" t="inlineStr">
        <is>
          <t>IN</t>
        </is>
      </c>
      <c r="F802" s="53" t="inlineStr">
        <is>
          <t>ALLEN</t>
        </is>
      </c>
      <c r="G802" s="59" t="n"/>
      <c r="N802" s="69" t="n"/>
      <c r="O802" s="69" t="n"/>
      <c r="X802" s="61" t="n"/>
      <c r="Y802" s="61" t="n"/>
    </row>
    <row r="803" ht="14.25" customHeight="1" s="86">
      <c r="E803" s="53" t="inlineStr">
        <is>
          <t>IN</t>
        </is>
      </c>
      <c r="F803" s="53" t="inlineStr">
        <is>
          <t>BARTHOLOMEW</t>
        </is>
      </c>
      <c r="G803" s="59" t="n"/>
      <c r="N803" s="69" t="n"/>
      <c r="O803" s="69" t="n"/>
      <c r="X803" s="61" t="n"/>
      <c r="Y803" s="61" t="n"/>
    </row>
    <row r="804" ht="14.25" customHeight="1" s="86">
      <c r="E804" s="53" t="inlineStr">
        <is>
          <t>IN</t>
        </is>
      </c>
      <c r="F804" s="53" t="inlineStr">
        <is>
          <t>BENTON</t>
        </is>
      </c>
      <c r="G804" s="59" t="n"/>
      <c r="N804" s="69" t="n"/>
      <c r="O804" s="69" t="n"/>
      <c r="X804" s="61" t="n"/>
      <c r="Y804" s="61" t="n"/>
    </row>
    <row r="805" ht="14.25" customHeight="1" s="86">
      <c r="E805" s="53" t="inlineStr">
        <is>
          <t>IN</t>
        </is>
      </c>
      <c r="F805" s="53" t="inlineStr">
        <is>
          <t>BLACKFORD</t>
        </is>
      </c>
      <c r="G805" s="59" t="n"/>
      <c r="N805" s="69" t="n"/>
      <c r="O805" s="69" t="n"/>
      <c r="X805" s="61" t="n"/>
      <c r="Y805" s="61" t="n"/>
    </row>
    <row r="806" ht="14.25" customHeight="1" s="86">
      <c r="E806" s="53" t="inlineStr">
        <is>
          <t>IN</t>
        </is>
      </c>
      <c r="F806" s="53" t="inlineStr">
        <is>
          <t>BOONE</t>
        </is>
      </c>
      <c r="G806" s="59" t="n"/>
      <c r="N806" s="59" t="n"/>
      <c r="O806" s="59" t="n"/>
      <c r="X806" s="61" t="n"/>
      <c r="Y806" s="61" t="n"/>
    </row>
    <row r="807" ht="14.25" customHeight="1" s="86">
      <c r="E807" s="53" t="inlineStr">
        <is>
          <t>IN</t>
        </is>
      </c>
      <c r="F807" s="53" t="inlineStr">
        <is>
          <t>BROWN</t>
        </is>
      </c>
      <c r="G807" s="59" t="n"/>
      <c r="N807" s="59" t="n"/>
      <c r="O807" s="59" t="n"/>
      <c r="X807" s="61" t="n"/>
      <c r="Y807" s="61" t="n"/>
    </row>
    <row r="808" ht="14.25" customHeight="1" s="86">
      <c r="E808" s="53" t="inlineStr">
        <is>
          <t>IN</t>
        </is>
      </c>
      <c r="F808" s="53" t="inlineStr">
        <is>
          <t>CARROLL</t>
        </is>
      </c>
      <c r="G808" s="59" t="n"/>
      <c r="N808" s="59" t="n"/>
      <c r="O808" s="59" t="n"/>
      <c r="X808" s="61" t="n"/>
      <c r="Y808" s="61" t="n"/>
    </row>
    <row r="809" ht="14.25" customHeight="1" s="86">
      <c r="E809" s="53" t="inlineStr">
        <is>
          <t>IN</t>
        </is>
      </c>
      <c r="F809" s="53" t="inlineStr">
        <is>
          <t>CASS</t>
        </is>
      </c>
      <c r="G809" s="59" t="n"/>
      <c r="N809" s="59" t="n"/>
      <c r="O809" s="59" t="n"/>
      <c r="X809" s="61" t="n"/>
      <c r="Y809" s="61" t="n"/>
    </row>
    <row r="810" ht="14.25" customHeight="1" s="86">
      <c r="E810" s="53" t="inlineStr">
        <is>
          <t>IN</t>
        </is>
      </c>
      <c r="F810" s="53" t="inlineStr">
        <is>
          <t>CLARK</t>
        </is>
      </c>
      <c r="G810" s="59" t="n"/>
      <c r="N810" s="59" t="n"/>
      <c r="O810" s="59" t="n"/>
      <c r="X810" s="61" t="n"/>
      <c r="Y810" s="61" t="n"/>
    </row>
    <row r="811" ht="14.25" customHeight="1" s="86">
      <c r="E811" s="53" t="inlineStr">
        <is>
          <t>IN</t>
        </is>
      </c>
      <c r="F811" s="53" t="inlineStr">
        <is>
          <t>CLAY</t>
        </is>
      </c>
      <c r="G811" s="59" t="n"/>
      <c r="N811" s="59" t="n"/>
      <c r="O811" s="59" t="n"/>
      <c r="X811" s="61" t="n"/>
      <c r="Y811" s="61" t="n"/>
    </row>
    <row r="812" ht="14.25" customHeight="1" s="86">
      <c r="E812" s="53" t="inlineStr">
        <is>
          <t>IN</t>
        </is>
      </c>
      <c r="F812" s="53" t="inlineStr">
        <is>
          <t>CLINTON</t>
        </is>
      </c>
      <c r="G812" s="59" t="n"/>
      <c r="N812" s="59" t="n"/>
      <c r="O812" s="59" t="n"/>
      <c r="X812" s="61" t="n"/>
      <c r="Y812" s="61" t="n"/>
    </row>
    <row r="813" ht="14.25" customHeight="1" s="86">
      <c r="E813" s="53" t="inlineStr">
        <is>
          <t>IN</t>
        </is>
      </c>
      <c r="F813" s="53" t="inlineStr">
        <is>
          <t>CRAWFORD</t>
        </is>
      </c>
      <c r="G813" s="59" t="n"/>
      <c r="N813" s="59" t="n"/>
      <c r="O813" s="59" t="n"/>
      <c r="X813" s="61" t="n"/>
      <c r="Y813" s="61" t="n"/>
    </row>
    <row r="814" ht="14.25" customHeight="1" s="86">
      <c r="E814" s="53" t="inlineStr">
        <is>
          <t>IN</t>
        </is>
      </c>
      <c r="F814" s="53" t="inlineStr">
        <is>
          <t>DAVIESS</t>
        </is>
      </c>
      <c r="G814" s="59" t="n"/>
      <c r="N814" s="59" t="n"/>
      <c r="O814" s="59" t="n"/>
      <c r="X814" s="61" t="n"/>
      <c r="Y814" s="61" t="n"/>
    </row>
    <row r="815" ht="14.25" customHeight="1" s="86">
      <c r="E815" s="53" t="inlineStr">
        <is>
          <t>IN</t>
        </is>
      </c>
      <c r="F815" s="53" t="inlineStr">
        <is>
          <t>DE KALB</t>
        </is>
      </c>
      <c r="G815" s="59" t="n"/>
      <c r="N815" s="59" t="n"/>
      <c r="O815" s="59" t="n"/>
      <c r="X815" s="61" t="n"/>
      <c r="Y815" s="61" t="n"/>
    </row>
    <row r="816" ht="14.25" customHeight="1" s="86">
      <c r="E816" s="53" t="inlineStr">
        <is>
          <t>IN</t>
        </is>
      </c>
      <c r="F816" s="53" t="inlineStr">
        <is>
          <t>DEARBORN</t>
        </is>
      </c>
      <c r="G816" s="59" t="n"/>
      <c r="N816" s="59" t="n"/>
      <c r="O816" s="59" t="n"/>
      <c r="X816" s="61" t="n"/>
      <c r="Y816" s="61" t="n"/>
    </row>
    <row r="817" ht="14.25" customHeight="1" s="86">
      <c r="E817" s="53" t="inlineStr">
        <is>
          <t>IN</t>
        </is>
      </c>
      <c r="F817" s="53" t="inlineStr">
        <is>
          <t>DECATUR</t>
        </is>
      </c>
      <c r="G817" s="59" t="n"/>
      <c r="N817" s="59" t="n"/>
      <c r="O817" s="59" t="n"/>
      <c r="X817" s="61" t="n"/>
      <c r="Y817" s="61" t="n"/>
    </row>
    <row r="818" ht="14.25" customHeight="1" s="86">
      <c r="E818" s="53" t="inlineStr">
        <is>
          <t>IN</t>
        </is>
      </c>
      <c r="F818" s="53" t="inlineStr">
        <is>
          <t>DELAWARE</t>
        </is>
      </c>
      <c r="G818" s="59" t="n"/>
      <c r="N818" s="59" t="n"/>
      <c r="O818" s="59" t="n"/>
      <c r="X818" s="61" t="n"/>
      <c r="Y818" s="61" t="n"/>
    </row>
    <row r="819" ht="14.25" customHeight="1" s="86">
      <c r="E819" s="53" t="inlineStr">
        <is>
          <t>IN</t>
        </is>
      </c>
      <c r="F819" s="53" t="inlineStr">
        <is>
          <t>DUBOIS</t>
        </is>
      </c>
      <c r="G819" s="59" t="n"/>
      <c r="N819" s="59" t="n"/>
      <c r="O819" s="59" t="n"/>
      <c r="X819" s="61" t="n"/>
      <c r="Y819" s="61" t="n"/>
    </row>
    <row r="820" ht="14.25" customHeight="1" s="86">
      <c r="E820" s="53" t="inlineStr">
        <is>
          <t>IN</t>
        </is>
      </c>
      <c r="F820" s="53" t="inlineStr">
        <is>
          <t>ELKHART</t>
        </is>
      </c>
      <c r="G820" s="59" t="n"/>
      <c r="N820" s="59" t="n"/>
      <c r="O820" s="59" t="n"/>
      <c r="X820" s="61" t="n"/>
      <c r="Y820" s="61" t="n"/>
    </row>
    <row r="821" ht="14.25" customHeight="1" s="86">
      <c r="E821" s="53" t="inlineStr">
        <is>
          <t>IN</t>
        </is>
      </c>
      <c r="F821" s="53" t="inlineStr">
        <is>
          <t>FAYETTE</t>
        </is>
      </c>
      <c r="G821" s="59" t="n"/>
      <c r="N821" s="59" t="n"/>
      <c r="O821" s="59" t="n"/>
      <c r="X821" s="61" t="n"/>
      <c r="Y821" s="61" t="n"/>
    </row>
    <row r="822" ht="14.25" customHeight="1" s="86">
      <c r="E822" s="53" t="inlineStr">
        <is>
          <t>IN</t>
        </is>
      </c>
      <c r="F822" s="53" t="inlineStr">
        <is>
          <t>FLOYD</t>
        </is>
      </c>
      <c r="G822" s="59" t="n"/>
      <c r="N822" s="59" t="n"/>
      <c r="O822" s="59" t="n"/>
      <c r="X822" s="61" t="n"/>
      <c r="Y822" s="61" t="n"/>
    </row>
    <row r="823" ht="14.25" customHeight="1" s="86">
      <c r="E823" s="53" t="inlineStr">
        <is>
          <t>IN</t>
        </is>
      </c>
      <c r="F823" s="53" t="inlineStr">
        <is>
          <t>FOUNTAIN</t>
        </is>
      </c>
      <c r="G823" s="59" t="n"/>
      <c r="N823" s="59" t="n"/>
      <c r="O823" s="59" t="n"/>
      <c r="X823" s="61" t="n"/>
      <c r="Y823" s="61" t="n"/>
    </row>
    <row r="824" ht="14.25" customHeight="1" s="86">
      <c r="E824" s="53" t="inlineStr">
        <is>
          <t>IN</t>
        </is>
      </c>
      <c r="F824" s="53" t="inlineStr">
        <is>
          <t>FRANKLIN</t>
        </is>
      </c>
      <c r="G824" s="59" t="n"/>
      <c r="N824" s="59" t="n"/>
      <c r="O824" s="59" t="n"/>
      <c r="X824" s="61" t="n"/>
      <c r="Y824" s="61" t="n"/>
    </row>
    <row r="825" ht="14.25" customHeight="1" s="86">
      <c r="E825" s="53" t="inlineStr">
        <is>
          <t>IN</t>
        </is>
      </c>
      <c r="F825" s="53" t="inlineStr">
        <is>
          <t>FULTON</t>
        </is>
      </c>
      <c r="G825" s="59" t="n"/>
      <c r="N825" s="59" t="n"/>
      <c r="O825" s="59" t="n"/>
      <c r="X825" s="61" t="n"/>
      <c r="Y825" s="61" t="n"/>
    </row>
    <row r="826" ht="14.25" customHeight="1" s="86">
      <c r="E826" s="53" t="inlineStr">
        <is>
          <t>IN</t>
        </is>
      </c>
      <c r="F826" s="53" t="inlineStr">
        <is>
          <t>GIBSON</t>
        </is>
      </c>
      <c r="G826" s="59" t="n"/>
      <c r="N826" s="59" t="n"/>
      <c r="O826" s="59" t="n"/>
      <c r="X826" s="61" t="n"/>
      <c r="Y826" s="61" t="n"/>
    </row>
    <row r="827" ht="14.25" customHeight="1" s="86">
      <c r="E827" s="53" t="inlineStr">
        <is>
          <t>IN</t>
        </is>
      </c>
      <c r="F827" s="53" t="inlineStr">
        <is>
          <t>GRANT</t>
        </is>
      </c>
      <c r="G827" s="59" t="n"/>
      <c r="N827" s="59" t="n"/>
      <c r="O827" s="59" t="n"/>
      <c r="X827" s="61" t="n"/>
      <c r="Y827" s="61" t="n"/>
    </row>
    <row r="828" ht="14.25" customHeight="1" s="86">
      <c r="E828" s="53" t="inlineStr">
        <is>
          <t>IN</t>
        </is>
      </c>
      <c r="F828" s="53" t="inlineStr">
        <is>
          <t>GREENE</t>
        </is>
      </c>
      <c r="G828" s="59" t="n"/>
      <c r="N828" s="59" t="n"/>
      <c r="O828" s="59" t="n"/>
      <c r="X828" s="61" t="n"/>
      <c r="Y828" s="61" t="n"/>
    </row>
    <row r="829" ht="14.25" customHeight="1" s="86">
      <c r="E829" s="53" t="inlineStr">
        <is>
          <t>IN</t>
        </is>
      </c>
      <c r="F829" s="53" t="inlineStr">
        <is>
          <t>HAMILTON</t>
        </is>
      </c>
      <c r="G829" s="59" t="n"/>
      <c r="N829" s="59" t="n"/>
      <c r="O829" s="59" t="n"/>
      <c r="X829" s="61" t="n"/>
      <c r="Y829" s="61" t="n"/>
    </row>
    <row r="830" ht="14.25" customHeight="1" s="86">
      <c r="E830" s="53" t="inlineStr">
        <is>
          <t>IN</t>
        </is>
      </c>
      <c r="F830" s="53" t="inlineStr">
        <is>
          <t>HANCOCK</t>
        </is>
      </c>
      <c r="G830" s="59" t="n"/>
      <c r="N830" s="59" t="n"/>
      <c r="O830" s="59" t="n"/>
      <c r="X830" s="61" t="n"/>
      <c r="Y830" s="61" t="n"/>
    </row>
    <row r="831" ht="14.25" customHeight="1" s="86">
      <c r="E831" s="53" t="inlineStr">
        <is>
          <t>IN</t>
        </is>
      </c>
      <c r="F831" s="53" t="inlineStr">
        <is>
          <t>HARRISON</t>
        </is>
      </c>
      <c r="G831" s="59" t="n"/>
      <c r="N831" s="59" t="n"/>
      <c r="O831" s="59" t="n"/>
      <c r="X831" s="61" t="n"/>
      <c r="Y831" s="61" t="n"/>
    </row>
    <row r="832" ht="14.25" customHeight="1" s="86">
      <c r="E832" s="53" t="inlineStr">
        <is>
          <t>IN</t>
        </is>
      </c>
      <c r="F832" s="53" t="inlineStr">
        <is>
          <t>HENDRICKS</t>
        </is>
      </c>
      <c r="G832" s="59" t="n"/>
      <c r="N832" s="59" t="n"/>
      <c r="O832" s="59" t="n"/>
      <c r="X832" s="61" t="n"/>
      <c r="Y832" s="61" t="n"/>
    </row>
    <row r="833" ht="14.25" customHeight="1" s="86">
      <c r="E833" s="53" t="inlineStr">
        <is>
          <t>IN</t>
        </is>
      </c>
      <c r="F833" s="53" t="inlineStr">
        <is>
          <t>HENRY</t>
        </is>
      </c>
      <c r="G833" s="59" t="n"/>
      <c r="N833" s="59" t="n"/>
      <c r="O833" s="59" t="n"/>
      <c r="X833" s="61" t="n"/>
      <c r="Y833" s="61" t="n"/>
    </row>
    <row r="834" ht="14.25" customHeight="1" s="86">
      <c r="E834" s="53" t="inlineStr">
        <is>
          <t>IN</t>
        </is>
      </c>
      <c r="F834" s="53" t="inlineStr">
        <is>
          <t>HOWARD</t>
        </is>
      </c>
      <c r="G834" s="59" t="n"/>
      <c r="N834" s="59" t="n"/>
      <c r="O834" s="59" t="n"/>
      <c r="X834" s="61" t="n"/>
      <c r="Y834" s="61" t="n"/>
    </row>
    <row r="835" ht="14.25" customHeight="1" s="86">
      <c r="E835" s="53" t="inlineStr">
        <is>
          <t>IN</t>
        </is>
      </c>
      <c r="F835" s="53" t="inlineStr">
        <is>
          <t>HUNTINGTON</t>
        </is>
      </c>
      <c r="G835" s="59" t="n"/>
      <c r="N835" s="59" t="n"/>
      <c r="O835" s="59" t="n"/>
      <c r="X835" s="61" t="n"/>
      <c r="Y835" s="61" t="n"/>
    </row>
    <row r="836" ht="14.25" customHeight="1" s="86">
      <c r="E836" s="53" t="inlineStr">
        <is>
          <t>IN</t>
        </is>
      </c>
      <c r="F836" s="53" t="inlineStr">
        <is>
          <t>JACKSON</t>
        </is>
      </c>
      <c r="G836" s="59" t="n"/>
      <c r="N836" s="59" t="n"/>
      <c r="O836" s="59" t="n"/>
      <c r="X836" s="61" t="n"/>
      <c r="Y836" s="61" t="n"/>
    </row>
    <row r="837" ht="14.25" customHeight="1" s="86">
      <c r="E837" s="53" t="inlineStr">
        <is>
          <t>IN</t>
        </is>
      </c>
      <c r="F837" s="53" t="inlineStr">
        <is>
          <t>JASPER</t>
        </is>
      </c>
      <c r="G837" s="59" t="n"/>
      <c r="N837" s="59" t="n"/>
      <c r="O837" s="59" t="n"/>
      <c r="X837" s="61" t="n"/>
      <c r="Y837" s="61" t="n"/>
    </row>
    <row r="838" ht="14.25" customHeight="1" s="86">
      <c r="E838" s="53" t="inlineStr">
        <is>
          <t>IN</t>
        </is>
      </c>
      <c r="F838" s="53" t="inlineStr">
        <is>
          <t>JAY</t>
        </is>
      </c>
      <c r="G838" s="59" t="n"/>
      <c r="N838" s="59" t="n"/>
      <c r="O838" s="59" t="n"/>
      <c r="X838" s="61" t="n"/>
      <c r="Y838" s="61" t="n"/>
    </row>
    <row r="839" ht="14.25" customHeight="1" s="86">
      <c r="E839" s="53" t="inlineStr">
        <is>
          <t>IN</t>
        </is>
      </c>
      <c r="F839" s="53" t="inlineStr">
        <is>
          <t>JEFFERSON</t>
        </is>
      </c>
      <c r="G839" s="59" t="n"/>
      <c r="N839" s="59" t="n"/>
      <c r="O839" s="59" t="n"/>
      <c r="X839" s="61" t="n"/>
      <c r="Y839" s="61" t="n"/>
    </row>
    <row r="840" ht="14.25" customHeight="1" s="86">
      <c r="E840" s="53" t="inlineStr">
        <is>
          <t>IN</t>
        </is>
      </c>
      <c r="F840" s="53" t="inlineStr">
        <is>
          <t>JENNINGS</t>
        </is>
      </c>
      <c r="G840" s="59" t="n"/>
      <c r="N840" s="59" t="n"/>
      <c r="O840" s="59" t="n"/>
      <c r="X840" s="61" t="n"/>
      <c r="Y840" s="61" t="n"/>
    </row>
    <row r="841" ht="14.25" customHeight="1" s="86">
      <c r="E841" s="53" t="inlineStr">
        <is>
          <t>IN</t>
        </is>
      </c>
      <c r="F841" s="53" t="inlineStr">
        <is>
          <t>JOHNSON</t>
        </is>
      </c>
      <c r="G841" s="59" t="n"/>
      <c r="N841" s="59" t="n"/>
      <c r="O841" s="59" t="n"/>
      <c r="X841" s="61" t="n"/>
      <c r="Y841" s="61" t="n"/>
    </row>
    <row r="842" ht="14.25" customHeight="1" s="86">
      <c r="E842" s="53" t="inlineStr">
        <is>
          <t>IN</t>
        </is>
      </c>
      <c r="F842" s="53" t="inlineStr">
        <is>
          <t>KNOX</t>
        </is>
      </c>
      <c r="G842" s="59" t="n"/>
      <c r="N842" s="59" t="n"/>
      <c r="O842" s="59" t="n"/>
      <c r="X842" s="61" t="n"/>
      <c r="Y842" s="61" t="n"/>
    </row>
    <row r="843" ht="14.25" customHeight="1" s="86">
      <c r="E843" s="53" t="inlineStr">
        <is>
          <t>IN</t>
        </is>
      </c>
      <c r="F843" s="53" t="inlineStr">
        <is>
          <t>KOSCIUSKO</t>
        </is>
      </c>
      <c r="G843" s="59" t="n"/>
      <c r="N843" s="59" t="n"/>
      <c r="O843" s="59" t="n"/>
      <c r="X843" s="61" t="n"/>
      <c r="Y843" s="61" t="n"/>
    </row>
    <row r="844" ht="14.25" customHeight="1" s="86">
      <c r="E844" s="53" t="inlineStr">
        <is>
          <t>IN</t>
        </is>
      </c>
      <c r="F844" s="53" t="inlineStr">
        <is>
          <t>LA PORTE</t>
        </is>
      </c>
      <c r="G844" s="59" t="n"/>
      <c r="N844" s="59" t="n"/>
      <c r="O844" s="59" t="n"/>
      <c r="X844" s="61" t="n"/>
      <c r="Y844" s="61" t="n"/>
    </row>
    <row r="845" ht="14.25" customHeight="1" s="86">
      <c r="E845" s="53" t="inlineStr">
        <is>
          <t>IN</t>
        </is>
      </c>
      <c r="F845" s="53" t="inlineStr">
        <is>
          <t>LAGRANGE</t>
        </is>
      </c>
      <c r="G845" s="59" t="n"/>
      <c r="N845" s="59" t="n"/>
      <c r="O845" s="59" t="n"/>
      <c r="X845" s="61" t="n"/>
      <c r="Y845" s="61" t="n"/>
    </row>
    <row r="846" ht="14.25" customHeight="1" s="86">
      <c r="E846" s="53" t="inlineStr">
        <is>
          <t>IN</t>
        </is>
      </c>
      <c r="F846" s="53" t="inlineStr">
        <is>
          <t>LAKE</t>
        </is>
      </c>
      <c r="G846" s="59" t="n"/>
      <c r="N846" s="59" t="n"/>
      <c r="O846" s="59" t="n"/>
      <c r="X846" s="61" t="n"/>
      <c r="Y846" s="61" t="n"/>
    </row>
    <row r="847" ht="14.25" customHeight="1" s="86">
      <c r="E847" s="53" t="inlineStr">
        <is>
          <t>IN</t>
        </is>
      </c>
      <c r="F847" s="53" t="inlineStr">
        <is>
          <t>LAWRENCE</t>
        </is>
      </c>
      <c r="G847" s="59" t="n"/>
      <c r="N847" s="59" t="n"/>
      <c r="O847" s="59" t="n"/>
      <c r="X847" s="61" t="n"/>
      <c r="Y847" s="61" t="n"/>
    </row>
    <row r="848" ht="14.25" customHeight="1" s="86">
      <c r="E848" s="53" t="inlineStr">
        <is>
          <t>IN</t>
        </is>
      </c>
      <c r="F848" s="53" t="inlineStr">
        <is>
          <t>MADISON</t>
        </is>
      </c>
      <c r="G848" s="59" t="n"/>
      <c r="N848" s="59" t="n"/>
      <c r="O848" s="59" t="n"/>
      <c r="X848" s="61" t="n"/>
      <c r="Y848" s="61" t="n"/>
    </row>
    <row r="849" ht="14.25" customHeight="1" s="86">
      <c r="E849" s="53" t="inlineStr">
        <is>
          <t>IN</t>
        </is>
      </c>
      <c r="F849" s="53" t="inlineStr">
        <is>
          <t>MARION</t>
        </is>
      </c>
      <c r="G849" s="59" t="n"/>
      <c r="N849" s="59" t="n"/>
      <c r="O849" s="59" t="n"/>
      <c r="X849" s="61" t="n"/>
      <c r="Y849" s="61" t="n"/>
    </row>
    <row r="850" ht="14.25" customHeight="1" s="86">
      <c r="E850" s="53" t="inlineStr">
        <is>
          <t>IN</t>
        </is>
      </c>
      <c r="F850" s="53" t="inlineStr">
        <is>
          <t>MARSHALL</t>
        </is>
      </c>
      <c r="G850" s="59" t="n"/>
      <c r="N850" s="59" t="n"/>
      <c r="O850" s="59" t="n"/>
      <c r="X850" s="61" t="n"/>
      <c r="Y850" s="61" t="n"/>
    </row>
    <row r="851" ht="14.25" customHeight="1" s="86">
      <c r="E851" s="53" t="inlineStr">
        <is>
          <t>IN</t>
        </is>
      </c>
      <c r="F851" s="53" t="inlineStr">
        <is>
          <t>MARTIN</t>
        </is>
      </c>
      <c r="G851" s="59" t="n"/>
      <c r="N851" s="59" t="n"/>
      <c r="O851" s="59" t="n"/>
      <c r="X851" s="61" t="n"/>
      <c r="Y851" s="61" t="n"/>
    </row>
    <row r="852" ht="14.25" customHeight="1" s="86">
      <c r="E852" s="53" t="inlineStr">
        <is>
          <t>IN</t>
        </is>
      </c>
      <c r="F852" s="53" t="inlineStr">
        <is>
          <t>MIAMI</t>
        </is>
      </c>
      <c r="G852" s="59" t="n"/>
      <c r="N852" s="59" t="n"/>
      <c r="O852" s="59" t="n"/>
      <c r="X852" s="61" t="n"/>
      <c r="Y852" s="61" t="n"/>
    </row>
    <row r="853" ht="14.25" customHeight="1" s="86">
      <c r="E853" s="53" t="inlineStr">
        <is>
          <t>IN</t>
        </is>
      </c>
      <c r="F853" s="53" t="inlineStr">
        <is>
          <t>MONROE</t>
        </is>
      </c>
      <c r="G853" s="59" t="n"/>
      <c r="N853" s="59" t="n"/>
      <c r="O853" s="59" t="n"/>
      <c r="X853" s="61" t="n"/>
      <c r="Y853" s="61" t="n"/>
    </row>
    <row r="854" ht="14.25" customHeight="1" s="86">
      <c r="E854" s="53" t="inlineStr">
        <is>
          <t>IN</t>
        </is>
      </c>
      <c r="F854" s="53" t="inlineStr">
        <is>
          <t>MONTGOMERY</t>
        </is>
      </c>
      <c r="G854" s="59" t="n"/>
      <c r="N854" s="59" t="n"/>
      <c r="O854" s="59" t="n"/>
      <c r="X854" s="61" t="n"/>
      <c r="Y854" s="61" t="n"/>
    </row>
    <row r="855" ht="14.25" customHeight="1" s="86">
      <c r="E855" s="53" t="inlineStr">
        <is>
          <t>IN</t>
        </is>
      </c>
      <c r="F855" s="53" t="inlineStr">
        <is>
          <t>MORGAN</t>
        </is>
      </c>
      <c r="G855" s="59" t="n"/>
      <c r="N855" s="59" t="n"/>
      <c r="O855" s="59" t="n"/>
      <c r="X855" s="61" t="n"/>
      <c r="Y855" s="61" t="n"/>
    </row>
    <row r="856" ht="14.25" customHeight="1" s="86">
      <c r="E856" s="53" t="inlineStr">
        <is>
          <t>IN</t>
        </is>
      </c>
      <c r="F856" s="53" t="inlineStr">
        <is>
          <t>NEWTON</t>
        </is>
      </c>
      <c r="G856" s="59" t="n"/>
      <c r="N856" s="59" t="n"/>
      <c r="O856" s="59" t="n"/>
      <c r="X856" s="61" t="n"/>
      <c r="Y856" s="61" t="n"/>
    </row>
    <row r="857" ht="14.25" customHeight="1" s="86">
      <c r="E857" s="53" t="inlineStr">
        <is>
          <t>IN</t>
        </is>
      </c>
      <c r="F857" s="53" t="inlineStr">
        <is>
          <t>NOBLE</t>
        </is>
      </c>
      <c r="G857" s="59" t="n"/>
      <c r="N857" s="59" t="n"/>
      <c r="O857" s="59" t="n"/>
      <c r="X857" s="61" t="n"/>
      <c r="Y857" s="61" t="n"/>
    </row>
    <row r="858" ht="14.25" customHeight="1" s="86">
      <c r="E858" s="53" t="inlineStr">
        <is>
          <t>IN</t>
        </is>
      </c>
      <c r="F858" s="53" t="inlineStr">
        <is>
          <t>OHIO</t>
        </is>
      </c>
      <c r="G858" s="59" t="n"/>
      <c r="N858" s="59" t="n"/>
      <c r="O858" s="59" t="n"/>
      <c r="X858" s="61" t="n"/>
      <c r="Y858" s="61" t="n"/>
    </row>
    <row r="859" ht="14.25" customHeight="1" s="86">
      <c r="E859" s="53" t="inlineStr">
        <is>
          <t>IN</t>
        </is>
      </c>
      <c r="F859" s="53" t="inlineStr">
        <is>
          <t>ORANGE</t>
        </is>
      </c>
      <c r="G859" s="59" t="n"/>
      <c r="N859" s="59" t="n"/>
      <c r="O859" s="59" t="n"/>
      <c r="X859" s="61" t="n"/>
      <c r="Y859" s="61" t="n"/>
    </row>
    <row r="860" ht="14.25" customHeight="1" s="86">
      <c r="E860" s="53" t="inlineStr">
        <is>
          <t>IN</t>
        </is>
      </c>
      <c r="F860" s="53" t="inlineStr">
        <is>
          <t>OWEN</t>
        </is>
      </c>
      <c r="G860" s="59" t="n"/>
      <c r="N860" s="59" t="n"/>
      <c r="O860" s="59" t="n"/>
      <c r="X860" s="61" t="n"/>
      <c r="Y860" s="61" t="n"/>
    </row>
    <row r="861" ht="14.25" customHeight="1" s="86">
      <c r="E861" s="53" t="inlineStr">
        <is>
          <t>IN</t>
        </is>
      </c>
      <c r="F861" s="53" t="inlineStr">
        <is>
          <t>PARKE</t>
        </is>
      </c>
      <c r="G861" s="59" t="n"/>
      <c r="N861" s="59" t="n"/>
      <c r="O861" s="59" t="n"/>
      <c r="X861" s="61" t="n"/>
      <c r="Y861" s="61" t="n"/>
    </row>
    <row r="862" ht="14.25" customHeight="1" s="86">
      <c r="E862" s="53" t="inlineStr">
        <is>
          <t>IN</t>
        </is>
      </c>
      <c r="F862" s="53" t="inlineStr">
        <is>
          <t>PERRY</t>
        </is>
      </c>
      <c r="G862" s="59" t="n"/>
      <c r="N862" s="59" t="n"/>
      <c r="O862" s="59" t="n"/>
      <c r="X862" s="61" t="n"/>
      <c r="Y862" s="61" t="n"/>
    </row>
    <row r="863" ht="14.25" customHeight="1" s="86">
      <c r="E863" s="53" t="inlineStr">
        <is>
          <t>IN</t>
        </is>
      </c>
      <c r="F863" s="53" t="inlineStr">
        <is>
          <t>PIKE</t>
        </is>
      </c>
      <c r="G863" s="59" t="n"/>
      <c r="N863" s="59" t="n"/>
      <c r="O863" s="59" t="n"/>
      <c r="X863" s="61" t="n"/>
      <c r="Y863" s="61" t="n"/>
    </row>
    <row r="864" ht="14.25" customHeight="1" s="86">
      <c r="E864" s="53" t="inlineStr">
        <is>
          <t>IN</t>
        </is>
      </c>
      <c r="F864" s="53" t="inlineStr">
        <is>
          <t>PORTER</t>
        </is>
      </c>
      <c r="G864" s="59" t="n"/>
      <c r="N864" s="59" t="n"/>
      <c r="O864" s="59" t="n"/>
      <c r="X864" s="61" t="n"/>
      <c r="Y864" s="61" t="n"/>
    </row>
    <row r="865" ht="14.25" customHeight="1" s="86">
      <c r="E865" s="53" t="inlineStr">
        <is>
          <t>IN</t>
        </is>
      </c>
      <c r="F865" s="53" t="inlineStr">
        <is>
          <t>POSEY</t>
        </is>
      </c>
      <c r="G865" s="59" t="n"/>
      <c r="N865" s="59" t="n"/>
      <c r="O865" s="59" t="n"/>
      <c r="X865" s="61" t="n"/>
      <c r="Y865" s="61" t="n"/>
    </row>
    <row r="866" ht="14.25" customHeight="1" s="86">
      <c r="E866" s="53" t="inlineStr">
        <is>
          <t>IN</t>
        </is>
      </c>
      <c r="F866" s="53" t="inlineStr">
        <is>
          <t>PULASKI</t>
        </is>
      </c>
      <c r="G866" s="59" t="n"/>
      <c r="N866" s="59" t="n"/>
      <c r="O866" s="59" t="n"/>
      <c r="X866" s="61" t="n"/>
      <c r="Y866" s="61" t="n"/>
    </row>
    <row r="867" ht="14.25" customHeight="1" s="86">
      <c r="E867" s="53" t="inlineStr">
        <is>
          <t>IN</t>
        </is>
      </c>
      <c r="F867" s="53" t="inlineStr">
        <is>
          <t>PUTNAM</t>
        </is>
      </c>
      <c r="G867" s="59" t="n"/>
      <c r="N867" s="59" t="n"/>
      <c r="O867" s="59" t="n"/>
      <c r="X867" s="61" t="n"/>
      <c r="Y867" s="61" t="n"/>
    </row>
    <row r="868" ht="14.25" customHeight="1" s="86">
      <c r="E868" s="53" t="inlineStr">
        <is>
          <t>IN</t>
        </is>
      </c>
      <c r="F868" s="53" t="inlineStr">
        <is>
          <t>RANDOLPH</t>
        </is>
      </c>
      <c r="G868" s="59" t="n"/>
      <c r="N868" s="59" t="n"/>
      <c r="O868" s="59" t="n"/>
      <c r="X868" s="61" t="n"/>
      <c r="Y868" s="61" t="n"/>
    </row>
    <row r="869" ht="14.25" customHeight="1" s="86">
      <c r="E869" s="53" t="inlineStr">
        <is>
          <t>IN</t>
        </is>
      </c>
      <c r="F869" s="53" t="inlineStr">
        <is>
          <t>RIPLEY</t>
        </is>
      </c>
      <c r="G869" s="59" t="n"/>
      <c r="N869" s="59" t="n"/>
      <c r="O869" s="59" t="n"/>
      <c r="X869" s="61" t="n"/>
      <c r="Y869" s="61" t="n"/>
    </row>
    <row r="870" ht="14.25" customHeight="1" s="86">
      <c r="E870" s="53" t="inlineStr">
        <is>
          <t>IN</t>
        </is>
      </c>
      <c r="F870" s="53" t="inlineStr">
        <is>
          <t>RUSH</t>
        </is>
      </c>
      <c r="G870" s="59" t="n"/>
      <c r="N870" s="59" t="n"/>
      <c r="O870" s="59" t="n"/>
      <c r="X870" s="61" t="n"/>
      <c r="Y870" s="61" t="n"/>
    </row>
    <row r="871" ht="14.25" customHeight="1" s="86">
      <c r="E871" s="53" t="inlineStr">
        <is>
          <t>IN</t>
        </is>
      </c>
      <c r="F871" s="53" t="inlineStr">
        <is>
          <t>SCOTT</t>
        </is>
      </c>
      <c r="G871" s="59" t="n"/>
      <c r="N871" s="59" t="n"/>
      <c r="O871" s="59" t="n"/>
      <c r="X871" s="61" t="n"/>
      <c r="Y871" s="61" t="n"/>
    </row>
    <row r="872" ht="14.25" customHeight="1" s="86">
      <c r="E872" s="53" t="inlineStr">
        <is>
          <t>IN</t>
        </is>
      </c>
      <c r="F872" s="53" t="inlineStr">
        <is>
          <t>SHELBY</t>
        </is>
      </c>
      <c r="G872" s="59" t="n"/>
      <c r="N872" s="59" t="n"/>
      <c r="O872" s="59" t="n"/>
      <c r="X872" s="61" t="n"/>
      <c r="Y872" s="61" t="n"/>
    </row>
    <row r="873" ht="14.25" customHeight="1" s="86">
      <c r="E873" s="53" t="inlineStr">
        <is>
          <t>IN</t>
        </is>
      </c>
      <c r="F873" s="53" t="inlineStr">
        <is>
          <t>SPENCER</t>
        </is>
      </c>
      <c r="G873" s="59" t="n"/>
      <c r="N873" s="59" t="n"/>
      <c r="O873" s="59" t="n"/>
      <c r="X873" s="61" t="n"/>
      <c r="Y873" s="61" t="n"/>
    </row>
    <row r="874" ht="14.25" customHeight="1" s="86">
      <c r="E874" s="53" t="inlineStr">
        <is>
          <t>IN</t>
        </is>
      </c>
      <c r="F874" s="53" t="inlineStr">
        <is>
          <t>ST JOSEPH</t>
        </is>
      </c>
      <c r="G874" s="59" t="n"/>
      <c r="N874" s="59" t="n"/>
      <c r="O874" s="59" t="n"/>
      <c r="X874" s="61" t="n"/>
      <c r="Y874" s="61" t="n"/>
    </row>
    <row r="875" ht="14.25" customHeight="1" s="86">
      <c r="E875" s="53" t="inlineStr">
        <is>
          <t>IN</t>
        </is>
      </c>
      <c r="F875" s="53" t="inlineStr">
        <is>
          <t>STARKE</t>
        </is>
      </c>
      <c r="G875" s="59" t="n"/>
      <c r="N875" s="59" t="n"/>
      <c r="O875" s="59" t="n"/>
      <c r="X875" s="61" t="n"/>
      <c r="Y875" s="61" t="n"/>
    </row>
    <row r="876" ht="14.25" customHeight="1" s="86">
      <c r="E876" s="53" t="inlineStr">
        <is>
          <t>IN</t>
        </is>
      </c>
      <c r="F876" s="53" t="inlineStr">
        <is>
          <t>STEUBEN</t>
        </is>
      </c>
      <c r="G876" s="59" t="n"/>
      <c r="N876" s="59" t="n"/>
      <c r="O876" s="59" t="n"/>
      <c r="X876" s="61" t="n"/>
      <c r="Y876" s="61" t="n"/>
    </row>
    <row r="877" ht="14.25" customHeight="1" s="86">
      <c r="E877" s="53" t="inlineStr">
        <is>
          <t>IN</t>
        </is>
      </c>
      <c r="F877" s="53" t="inlineStr">
        <is>
          <t>SULLIVAN</t>
        </is>
      </c>
      <c r="G877" s="59" t="n"/>
      <c r="N877" s="59" t="n"/>
      <c r="O877" s="59" t="n"/>
      <c r="X877" s="61" t="n"/>
      <c r="Y877" s="61" t="n"/>
    </row>
    <row r="878" ht="14.25" customHeight="1" s="86">
      <c r="E878" s="53" t="inlineStr">
        <is>
          <t>IN</t>
        </is>
      </c>
      <c r="F878" s="53" t="inlineStr">
        <is>
          <t>SWITZERLAND</t>
        </is>
      </c>
      <c r="G878" s="59" t="n"/>
      <c r="N878" s="59" t="n"/>
      <c r="O878" s="59" t="n"/>
      <c r="X878" s="61" t="n"/>
      <c r="Y878" s="61" t="n"/>
    </row>
    <row r="879" ht="14.25" customHeight="1" s="86">
      <c r="E879" s="53" t="inlineStr">
        <is>
          <t>IN</t>
        </is>
      </c>
      <c r="F879" s="53" t="inlineStr">
        <is>
          <t>TIPPECANOE</t>
        </is>
      </c>
      <c r="G879" s="59" t="n"/>
      <c r="N879" s="59" t="n"/>
      <c r="O879" s="59" t="n"/>
      <c r="X879" s="61" t="n"/>
      <c r="Y879" s="61" t="n"/>
    </row>
    <row r="880" ht="14.25" customHeight="1" s="86">
      <c r="E880" s="53" t="inlineStr">
        <is>
          <t>IN</t>
        </is>
      </c>
      <c r="F880" s="53" t="inlineStr">
        <is>
          <t>TIPTON</t>
        </is>
      </c>
      <c r="G880" s="59" t="n"/>
      <c r="N880" s="59" t="n"/>
      <c r="O880" s="59" t="n"/>
      <c r="X880" s="61" t="n"/>
      <c r="Y880" s="61" t="n"/>
    </row>
    <row r="881" ht="14.25" customHeight="1" s="86">
      <c r="E881" s="53" t="inlineStr">
        <is>
          <t>IN</t>
        </is>
      </c>
      <c r="F881" s="53" t="inlineStr">
        <is>
          <t>UNION</t>
        </is>
      </c>
      <c r="G881" s="59" t="n"/>
      <c r="N881" s="59" t="n"/>
      <c r="O881" s="59" t="n"/>
      <c r="X881" s="61" t="n"/>
      <c r="Y881" s="61" t="n"/>
    </row>
    <row r="882" ht="14.25" customHeight="1" s="86">
      <c r="E882" s="53" t="inlineStr">
        <is>
          <t>IN</t>
        </is>
      </c>
      <c r="F882" s="53" t="inlineStr">
        <is>
          <t>VANDERBURGH</t>
        </is>
      </c>
      <c r="G882" s="59" t="n"/>
      <c r="N882" s="59" t="n"/>
      <c r="O882" s="59" t="n"/>
      <c r="X882" s="61" t="n"/>
      <c r="Y882" s="61" t="n"/>
    </row>
    <row r="883" ht="14.25" customHeight="1" s="86">
      <c r="E883" s="53" t="inlineStr">
        <is>
          <t>IN</t>
        </is>
      </c>
      <c r="F883" s="53" t="inlineStr">
        <is>
          <t>VERMILLION</t>
        </is>
      </c>
      <c r="G883" s="59" t="n"/>
      <c r="N883" s="59" t="n"/>
      <c r="O883" s="59" t="n"/>
      <c r="X883" s="61" t="n"/>
      <c r="Y883" s="61" t="n"/>
    </row>
    <row r="884" ht="14.25" customHeight="1" s="86">
      <c r="E884" s="53" t="inlineStr">
        <is>
          <t>IN</t>
        </is>
      </c>
      <c r="F884" s="53" t="inlineStr">
        <is>
          <t>VIGO</t>
        </is>
      </c>
      <c r="G884" s="59" t="n"/>
      <c r="N884" s="59" t="n"/>
      <c r="O884" s="59" t="n"/>
      <c r="X884" s="61" t="n"/>
      <c r="Y884" s="61" t="n"/>
    </row>
    <row r="885" ht="14.25" customHeight="1" s="86">
      <c r="E885" s="53" t="inlineStr">
        <is>
          <t>IN</t>
        </is>
      </c>
      <c r="F885" s="53" t="inlineStr">
        <is>
          <t>WABASH</t>
        </is>
      </c>
      <c r="G885" s="59" t="n"/>
      <c r="N885" s="59" t="n"/>
      <c r="O885" s="59" t="n"/>
      <c r="X885" s="61" t="n"/>
      <c r="Y885" s="61" t="n"/>
    </row>
    <row r="886" ht="14.25" customHeight="1" s="86">
      <c r="E886" s="53" t="inlineStr">
        <is>
          <t>IN</t>
        </is>
      </c>
      <c r="F886" s="53" t="inlineStr">
        <is>
          <t>WARREN</t>
        </is>
      </c>
      <c r="G886" s="59" t="n"/>
      <c r="N886" s="59" t="n"/>
      <c r="O886" s="59" t="n"/>
      <c r="X886" s="61" t="n"/>
      <c r="Y886" s="61" t="n"/>
    </row>
    <row r="887" ht="14.25" customHeight="1" s="86">
      <c r="E887" s="53" t="inlineStr">
        <is>
          <t>IN</t>
        </is>
      </c>
      <c r="F887" s="53" t="inlineStr">
        <is>
          <t>WARRICK</t>
        </is>
      </c>
      <c r="G887" s="59" t="n"/>
      <c r="N887" s="59" t="n"/>
      <c r="O887" s="59" t="n"/>
      <c r="X887" s="61" t="n"/>
      <c r="Y887" s="61" t="n"/>
    </row>
    <row r="888" ht="14.25" customHeight="1" s="86">
      <c r="E888" s="53" t="inlineStr">
        <is>
          <t>IN</t>
        </is>
      </c>
      <c r="F888" s="53" t="inlineStr">
        <is>
          <t>WASHINGTON</t>
        </is>
      </c>
      <c r="G888" s="59" t="n"/>
      <c r="N888" s="59" t="n"/>
      <c r="O888" s="59" t="n"/>
      <c r="X888" s="61" t="n"/>
      <c r="Y888" s="61" t="n"/>
    </row>
    <row r="889" ht="14.25" customHeight="1" s="86">
      <c r="E889" s="53" t="inlineStr">
        <is>
          <t>IN</t>
        </is>
      </c>
      <c r="F889" s="53" t="inlineStr">
        <is>
          <t>WAYNE</t>
        </is>
      </c>
      <c r="G889" s="59" t="n"/>
      <c r="N889" s="59" t="n"/>
      <c r="O889" s="59" t="n"/>
      <c r="X889" s="61" t="n"/>
      <c r="Y889" s="61" t="n"/>
    </row>
    <row r="890" ht="14.25" customHeight="1" s="86">
      <c r="E890" s="53" t="inlineStr">
        <is>
          <t>IN</t>
        </is>
      </c>
      <c r="F890" s="53" t="inlineStr">
        <is>
          <t>WELLS</t>
        </is>
      </c>
      <c r="G890" s="59" t="n"/>
      <c r="N890" s="59" t="n"/>
      <c r="O890" s="59" t="n"/>
      <c r="X890" s="61" t="n"/>
      <c r="Y890" s="61" t="n"/>
    </row>
    <row r="891" ht="14.25" customHeight="1" s="86">
      <c r="E891" s="53" t="inlineStr">
        <is>
          <t>IN</t>
        </is>
      </c>
      <c r="F891" s="53" t="inlineStr">
        <is>
          <t>WHITE</t>
        </is>
      </c>
      <c r="G891" s="59" t="n"/>
      <c r="N891" s="59" t="n"/>
      <c r="O891" s="59" t="n"/>
      <c r="X891" s="61" t="n"/>
      <c r="Y891" s="61" t="n"/>
    </row>
    <row r="892" ht="14.25" customHeight="1" s="86">
      <c r="E892" s="53" t="inlineStr">
        <is>
          <t>IN</t>
        </is>
      </c>
      <c r="F892" s="53" t="inlineStr">
        <is>
          <t>WHITLEY</t>
        </is>
      </c>
      <c r="G892" s="59" t="n"/>
      <c r="N892" s="59" t="n"/>
      <c r="O892" s="59" t="n"/>
      <c r="X892" s="61" t="n"/>
      <c r="Y892" s="61" t="n"/>
    </row>
    <row r="893" ht="14.25" customHeight="1" s="86">
      <c r="E893" s="53" t="inlineStr">
        <is>
          <t>KS</t>
        </is>
      </c>
      <c r="F893" s="53" t="inlineStr">
        <is>
          <t>ALLEN</t>
        </is>
      </c>
      <c r="G893" s="59" t="n"/>
      <c r="N893" s="59" t="n"/>
      <c r="O893" s="59" t="n"/>
      <c r="X893" s="61" t="n"/>
      <c r="Y893" s="61" t="n"/>
    </row>
    <row r="894" ht="14.25" customHeight="1" s="86">
      <c r="E894" s="53" t="inlineStr">
        <is>
          <t>KS</t>
        </is>
      </c>
      <c r="F894" s="53" t="inlineStr">
        <is>
          <t>ANDERSON</t>
        </is>
      </c>
      <c r="G894" s="59" t="n"/>
      <c r="N894" s="59" t="n"/>
      <c r="O894" s="59" t="n"/>
      <c r="X894" s="61" t="n"/>
      <c r="Y894" s="61" t="n"/>
    </row>
    <row r="895" ht="14.25" customHeight="1" s="86">
      <c r="E895" s="53" t="inlineStr">
        <is>
          <t>KS</t>
        </is>
      </c>
      <c r="F895" s="53" t="inlineStr">
        <is>
          <t>ATCHISON</t>
        </is>
      </c>
      <c r="G895" s="59" t="n"/>
      <c r="N895" s="59" t="n"/>
      <c r="O895" s="59" t="n"/>
      <c r="X895" s="61" t="n"/>
      <c r="Y895" s="61" t="n"/>
    </row>
    <row r="896" ht="14.25" customHeight="1" s="86">
      <c r="E896" s="53" t="inlineStr">
        <is>
          <t>KS</t>
        </is>
      </c>
      <c r="F896" s="53" t="inlineStr">
        <is>
          <t>BARBER</t>
        </is>
      </c>
      <c r="G896" s="59" t="n"/>
      <c r="N896" s="59" t="n"/>
      <c r="O896" s="59" t="n"/>
      <c r="X896" s="61" t="n"/>
      <c r="Y896" s="61" t="n"/>
    </row>
    <row r="897" ht="14.25" customHeight="1" s="86">
      <c r="E897" s="53" t="inlineStr">
        <is>
          <t>KS</t>
        </is>
      </c>
      <c r="F897" s="53" t="inlineStr">
        <is>
          <t>BARTON</t>
        </is>
      </c>
      <c r="G897" s="59" t="n"/>
      <c r="N897" s="59" t="n"/>
      <c r="O897" s="59" t="n"/>
      <c r="X897" s="61" t="n"/>
      <c r="Y897" s="61" t="n"/>
    </row>
    <row r="898" ht="14.25" customHeight="1" s="86">
      <c r="E898" s="53" t="inlineStr">
        <is>
          <t>KS</t>
        </is>
      </c>
      <c r="F898" s="53" t="inlineStr">
        <is>
          <t>BOURBON</t>
        </is>
      </c>
      <c r="G898" s="59" t="n"/>
      <c r="N898" s="59" t="n"/>
      <c r="O898" s="59" t="n"/>
      <c r="X898" s="61" t="n"/>
      <c r="Y898" s="61" t="n"/>
    </row>
    <row r="899" ht="14.25" customHeight="1" s="86">
      <c r="E899" s="53" t="inlineStr">
        <is>
          <t>KS</t>
        </is>
      </c>
      <c r="F899" s="53" t="inlineStr">
        <is>
          <t>BROWN</t>
        </is>
      </c>
      <c r="G899" s="59" t="n"/>
      <c r="N899" s="59" t="n"/>
      <c r="O899" s="59" t="n"/>
      <c r="X899" s="61" t="n"/>
      <c r="Y899" s="61" t="n"/>
    </row>
    <row r="900" ht="14.25" customHeight="1" s="86">
      <c r="E900" s="53" t="inlineStr">
        <is>
          <t>KS</t>
        </is>
      </c>
      <c r="F900" s="53" t="inlineStr">
        <is>
          <t>BUTLER</t>
        </is>
      </c>
      <c r="G900" s="59" t="n"/>
      <c r="N900" s="59" t="n"/>
      <c r="O900" s="59" t="n"/>
      <c r="X900" s="61" t="n"/>
      <c r="Y900" s="61" t="n"/>
    </row>
    <row r="901" ht="14.25" customHeight="1" s="86">
      <c r="E901" s="53" t="inlineStr">
        <is>
          <t>KS</t>
        </is>
      </c>
      <c r="F901" s="53" t="inlineStr">
        <is>
          <t>CHASE</t>
        </is>
      </c>
      <c r="G901" s="59" t="n"/>
      <c r="N901" s="59" t="n"/>
      <c r="O901" s="59" t="n"/>
      <c r="X901" s="61" t="n"/>
      <c r="Y901" s="61" t="n"/>
    </row>
    <row r="902" ht="14.25" customHeight="1" s="86">
      <c r="E902" s="53" t="inlineStr">
        <is>
          <t>KS</t>
        </is>
      </c>
      <c r="F902" s="53" t="inlineStr">
        <is>
          <t>CHAUTAUQUA</t>
        </is>
      </c>
      <c r="G902" s="59" t="n"/>
      <c r="N902" s="59" t="n"/>
      <c r="O902" s="59" t="n"/>
      <c r="X902" s="61" t="n"/>
      <c r="Y902" s="61" t="n"/>
    </row>
    <row r="903" ht="14.25" customHeight="1" s="86">
      <c r="E903" s="53" t="inlineStr">
        <is>
          <t>KS</t>
        </is>
      </c>
      <c r="F903" s="53" t="inlineStr">
        <is>
          <t>CHEROKEE</t>
        </is>
      </c>
      <c r="G903" s="59" t="n"/>
      <c r="N903" s="59" t="n"/>
      <c r="O903" s="59" t="n"/>
      <c r="X903" s="61" t="n"/>
      <c r="Y903" s="61" t="n"/>
    </row>
    <row r="904" ht="14.25" customHeight="1" s="86">
      <c r="E904" s="53" t="inlineStr">
        <is>
          <t>KS</t>
        </is>
      </c>
      <c r="F904" s="53" t="inlineStr">
        <is>
          <t>CHEYENNE</t>
        </is>
      </c>
      <c r="G904" s="59" t="n"/>
      <c r="N904" s="59" t="n"/>
      <c r="O904" s="59" t="n"/>
      <c r="X904" s="61" t="n"/>
      <c r="Y904" s="61" t="n"/>
    </row>
    <row r="905" ht="14.25" customHeight="1" s="86">
      <c r="E905" s="53" t="inlineStr">
        <is>
          <t>KS</t>
        </is>
      </c>
      <c r="F905" s="53" t="inlineStr">
        <is>
          <t>CLARK</t>
        </is>
      </c>
      <c r="G905" s="59" t="n"/>
      <c r="N905" s="59" t="n"/>
      <c r="O905" s="59" t="n"/>
      <c r="X905" s="61" t="n"/>
      <c r="Y905" s="61" t="n"/>
    </row>
    <row r="906" ht="14.25" customHeight="1" s="86">
      <c r="E906" s="53" t="inlineStr">
        <is>
          <t>KS</t>
        </is>
      </c>
      <c r="F906" s="53" t="inlineStr">
        <is>
          <t>CLAY</t>
        </is>
      </c>
      <c r="G906" s="59" t="n"/>
      <c r="N906" s="59" t="n"/>
      <c r="O906" s="59" t="n"/>
      <c r="X906" s="61" t="n"/>
      <c r="Y906" s="61" t="n"/>
    </row>
    <row r="907" ht="14.25" customHeight="1" s="86">
      <c r="E907" s="53" t="inlineStr">
        <is>
          <t>KS</t>
        </is>
      </c>
      <c r="F907" s="53" t="inlineStr">
        <is>
          <t>CLOUD</t>
        </is>
      </c>
      <c r="G907" s="59" t="n"/>
      <c r="N907" s="59" t="n"/>
      <c r="O907" s="59" t="n"/>
      <c r="X907" s="61" t="n"/>
      <c r="Y907" s="61" t="n"/>
    </row>
    <row r="908" ht="14.25" customHeight="1" s="86">
      <c r="E908" s="53" t="inlineStr">
        <is>
          <t>KS</t>
        </is>
      </c>
      <c r="F908" s="53" t="inlineStr">
        <is>
          <t>COFFEY</t>
        </is>
      </c>
      <c r="G908" s="59" t="n"/>
      <c r="N908" s="59" t="n"/>
      <c r="O908" s="59" t="n"/>
      <c r="X908" s="61" t="n"/>
      <c r="Y908" s="61" t="n"/>
    </row>
    <row r="909" ht="14.25" customHeight="1" s="86">
      <c r="E909" s="53" t="inlineStr">
        <is>
          <t>KS</t>
        </is>
      </c>
      <c r="F909" s="53" t="inlineStr">
        <is>
          <t>COMANCHE</t>
        </is>
      </c>
      <c r="G909" s="59" t="n"/>
      <c r="N909" s="59" t="n"/>
      <c r="O909" s="59" t="n"/>
      <c r="X909" s="61" t="n"/>
      <c r="Y909" s="61" t="n"/>
    </row>
    <row r="910" ht="14.25" customHeight="1" s="86">
      <c r="E910" s="53" t="inlineStr">
        <is>
          <t>KS</t>
        </is>
      </c>
      <c r="F910" s="53" t="inlineStr">
        <is>
          <t>COWLEY</t>
        </is>
      </c>
      <c r="G910" s="59" t="n"/>
      <c r="N910" s="59" t="n"/>
      <c r="O910" s="59" t="n"/>
      <c r="X910" s="61" t="n"/>
      <c r="Y910" s="61" t="n"/>
    </row>
    <row r="911" ht="14.25" customHeight="1" s="86">
      <c r="E911" s="53" t="inlineStr">
        <is>
          <t>KS</t>
        </is>
      </c>
      <c r="F911" s="53" t="inlineStr">
        <is>
          <t>CRAWFORD</t>
        </is>
      </c>
      <c r="G911" s="59" t="n"/>
      <c r="N911" s="59" t="n"/>
      <c r="O911" s="59" t="n"/>
      <c r="X911" s="61" t="n"/>
      <c r="Y911" s="61" t="n"/>
    </row>
    <row r="912" ht="14.25" customHeight="1" s="86">
      <c r="E912" s="53" t="inlineStr">
        <is>
          <t>KS</t>
        </is>
      </c>
      <c r="F912" s="53" t="inlineStr">
        <is>
          <t>DECATUR</t>
        </is>
      </c>
      <c r="G912" s="59" t="n"/>
      <c r="N912" s="59" t="n"/>
      <c r="O912" s="59" t="n"/>
      <c r="X912" s="61" t="n"/>
      <c r="Y912" s="61" t="n"/>
    </row>
    <row r="913" ht="14.25" customHeight="1" s="86">
      <c r="E913" s="53" t="inlineStr">
        <is>
          <t>KS</t>
        </is>
      </c>
      <c r="F913" s="53" t="inlineStr">
        <is>
          <t>DICKINSON</t>
        </is>
      </c>
      <c r="G913" s="59" t="n"/>
      <c r="N913" s="59" t="n"/>
      <c r="O913" s="59" t="n"/>
      <c r="X913" s="61" t="n"/>
      <c r="Y913" s="61" t="n"/>
    </row>
    <row r="914" ht="14.25" customHeight="1" s="86">
      <c r="E914" s="53" t="inlineStr">
        <is>
          <t>KS</t>
        </is>
      </c>
      <c r="F914" s="53" t="inlineStr">
        <is>
          <t>DONIPHAN</t>
        </is>
      </c>
      <c r="G914" s="59" t="n"/>
      <c r="N914" s="59" t="n"/>
      <c r="O914" s="59" t="n"/>
      <c r="X914" s="61" t="n"/>
      <c r="Y914" s="61" t="n"/>
    </row>
    <row r="915" ht="14.25" customHeight="1" s="86">
      <c r="E915" s="53" t="inlineStr">
        <is>
          <t>KS</t>
        </is>
      </c>
      <c r="F915" s="53" t="inlineStr">
        <is>
          <t>DOUGLAS</t>
        </is>
      </c>
      <c r="G915" s="59" t="n"/>
      <c r="N915" s="59" t="n"/>
      <c r="O915" s="59" t="n"/>
      <c r="X915" s="61" t="n"/>
      <c r="Y915" s="61" t="n"/>
    </row>
    <row r="916" ht="14.25" customHeight="1" s="86">
      <c r="E916" s="53" t="inlineStr">
        <is>
          <t>KS</t>
        </is>
      </c>
      <c r="F916" s="53" t="inlineStr">
        <is>
          <t>EDWARDS</t>
        </is>
      </c>
      <c r="G916" s="59" t="n"/>
      <c r="N916" s="59" t="n"/>
      <c r="O916" s="59" t="n"/>
      <c r="X916" s="61" t="n"/>
      <c r="Y916" s="61" t="n"/>
    </row>
    <row r="917" ht="14.25" customHeight="1" s="86">
      <c r="E917" s="53" t="inlineStr">
        <is>
          <t>KS</t>
        </is>
      </c>
      <c r="F917" s="53" t="inlineStr">
        <is>
          <t>ELK</t>
        </is>
      </c>
      <c r="G917" s="59" t="n"/>
      <c r="N917" s="59" t="n"/>
      <c r="O917" s="59" t="n"/>
      <c r="X917" s="61" t="n"/>
      <c r="Y917" s="61" t="n"/>
    </row>
    <row r="918" ht="14.25" customHeight="1" s="86">
      <c r="E918" s="53" t="inlineStr">
        <is>
          <t>KS</t>
        </is>
      </c>
      <c r="F918" s="53" t="inlineStr">
        <is>
          <t>ELLIS</t>
        </is>
      </c>
      <c r="G918" s="59" t="n"/>
      <c r="N918" s="59" t="n"/>
      <c r="O918" s="59" t="n"/>
      <c r="X918" s="61" t="n"/>
      <c r="Y918" s="61" t="n"/>
    </row>
    <row r="919" ht="14.25" customHeight="1" s="86">
      <c r="E919" s="53" t="inlineStr">
        <is>
          <t>KS</t>
        </is>
      </c>
      <c r="F919" s="53" t="inlineStr">
        <is>
          <t>ELLSWORTH</t>
        </is>
      </c>
      <c r="G919" s="59" t="n"/>
      <c r="N919" s="59" t="n"/>
      <c r="O919" s="59" t="n"/>
      <c r="X919" s="61" t="n"/>
      <c r="Y919" s="61" t="n"/>
    </row>
    <row r="920" ht="14.25" customHeight="1" s="86">
      <c r="E920" s="53" t="inlineStr">
        <is>
          <t>KS</t>
        </is>
      </c>
      <c r="F920" s="53" t="inlineStr">
        <is>
          <t>FINNEY</t>
        </is>
      </c>
      <c r="G920" s="59" t="n"/>
      <c r="N920" s="59" t="n"/>
      <c r="O920" s="59" t="n"/>
      <c r="X920" s="61" t="n"/>
      <c r="Y920" s="61" t="n"/>
    </row>
    <row r="921" ht="14.25" customHeight="1" s="86">
      <c r="E921" s="53" t="inlineStr">
        <is>
          <t>KS</t>
        </is>
      </c>
      <c r="F921" s="53" t="inlineStr">
        <is>
          <t>FORD</t>
        </is>
      </c>
      <c r="G921" s="59" t="n"/>
      <c r="N921" s="59" t="n"/>
      <c r="O921" s="59" t="n"/>
      <c r="X921" s="61" t="n"/>
      <c r="Y921" s="61" t="n"/>
    </row>
    <row r="922" ht="14.25" customHeight="1" s="86">
      <c r="E922" s="53" t="inlineStr">
        <is>
          <t>KS</t>
        </is>
      </c>
      <c r="F922" s="53" t="inlineStr">
        <is>
          <t>FRANKLIN</t>
        </is>
      </c>
      <c r="G922" s="59" t="n"/>
      <c r="N922" s="59" t="n"/>
      <c r="O922" s="59" t="n"/>
      <c r="X922" s="61" t="n"/>
      <c r="Y922" s="61" t="n"/>
    </row>
    <row r="923" ht="14.25" customHeight="1" s="86">
      <c r="E923" s="53" t="inlineStr">
        <is>
          <t>KS</t>
        </is>
      </c>
      <c r="F923" s="53" t="inlineStr">
        <is>
          <t>GEARY</t>
        </is>
      </c>
      <c r="G923" s="59" t="n"/>
      <c r="N923" s="59" t="n"/>
      <c r="O923" s="59" t="n"/>
      <c r="X923" s="61" t="n"/>
      <c r="Y923" s="61" t="n"/>
    </row>
    <row r="924" ht="14.25" customHeight="1" s="86">
      <c r="E924" s="53" t="inlineStr">
        <is>
          <t>KS</t>
        </is>
      </c>
      <c r="F924" s="53" t="inlineStr">
        <is>
          <t>GOVE</t>
        </is>
      </c>
      <c r="G924" s="59" t="n"/>
      <c r="N924" s="59" t="n"/>
      <c r="O924" s="59" t="n"/>
      <c r="X924" s="61" t="n"/>
      <c r="Y924" s="61" t="n"/>
    </row>
    <row r="925" ht="14.25" customHeight="1" s="86">
      <c r="E925" s="53" t="inlineStr">
        <is>
          <t>KS</t>
        </is>
      </c>
      <c r="F925" s="53" t="inlineStr">
        <is>
          <t>GRAHAM</t>
        </is>
      </c>
      <c r="G925" s="59" t="n"/>
      <c r="N925" s="59" t="n"/>
      <c r="O925" s="59" t="n"/>
      <c r="X925" s="61" t="n"/>
      <c r="Y925" s="61" t="n"/>
    </row>
    <row r="926" ht="14.25" customHeight="1" s="86">
      <c r="E926" s="53" t="inlineStr">
        <is>
          <t>KS</t>
        </is>
      </c>
      <c r="F926" s="53" t="inlineStr">
        <is>
          <t>GRANT</t>
        </is>
      </c>
      <c r="G926" s="59" t="n"/>
      <c r="N926" s="59" t="n"/>
      <c r="O926" s="59" t="n"/>
      <c r="X926" s="61" t="n"/>
      <c r="Y926" s="61" t="n"/>
    </row>
    <row r="927" ht="14.25" customHeight="1" s="86">
      <c r="E927" s="53" t="inlineStr">
        <is>
          <t>KS</t>
        </is>
      </c>
      <c r="F927" s="53" t="inlineStr">
        <is>
          <t>GRAY</t>
        </is>
      </c>
      <c r="G927" s="59" t="n"/>
      <c r="N927" s="59" t="n"/>
      <c r="O927" s="59" t="n"/>
      <c r="X927" s="61" t="n"/>
      <c r="Y927" s="61" t="n"/>
    </row>
    <row r="928" ht="14.25" customHeight="1" s="86">
      <c r="E928" s="53" t="inlineStr">
        <is>
          <t>KS</t>
        </is>
      </c>
      <c r="F928" s="53" t="inlineStr">
        <is>
          <t>GREELEY</t>
        </is>
      </c>
      <c r="G928" s="59" t="n"/>
      <c r="N928" s="59" t="n"/>
      <c r="O928" s="59" t="n"/>
      <c r="X928" s="61" t="n"/>
      <c r="Y928" s="61" t="n"/>
    </row>
    <row r="929" ht="14.25" customHeight="1" s="86">
      <c r="E929" s="53" t="inlineStr">
        <is>
          <t>KS</t>
        </is>
      </c>
      <c r="F929" s="53" t="inlineStr">
        <is>
          <t>GREENWOOD</t>
        </is>
      </c>
      <c r="G929" s="59" t="n"/>
      <c r="N929" s="59" t="n"/>
      <c r="O929" s="59" t="n"/>
      <c r="X929" s="61" t="n"/>
      <c r="Y929" s="61" t="n"/>
    </row>
    <row r="930" ht="14.25" customHeight="1" s="86">
      <c r="E930" s="53" t="inlineStr">
        <is>
          <t>KS</t>
        </is>
      </c>
      <c r="F930" s="53" t="inlineStr">
        <is>
          <t>HAMILTON</t>
        </is>
      </c>
      <c r="G930" s="59" t="n"/>
      <c r="N930" s="59" t="n"/>
      <c r="O930" s="59" t="n"/>
      <c r="X930" s="61" t="n"/>
      <c r="Y930" s="61" t="n"/>
    </row>
    <row r="931" ht="14.25" customHeight="1" s="86">
      <c r="E931" s="53" t="inlineStr">
        <is>
          <t>KS</t>
        </is>
      </c>
      <c r="F931" s="53" t="inlineStr">
        <is>
          <t>HARPER</t>
        </is>
      </c>
      <c r="G931" s="59" t="n"/>
      <c r="N931" s="59" t="n"/>
      <c r="O931" s="59" t="n"/>
      <c r="X931" s="61" t="n"/>
      <c r="Y931" s="61" t="n"/>
    </row>
    <row r="932" ht="14.25" customHeight="1" s="86">
      <c r="E932" s="53" t="inlineStr">
        <is>
          <t>KS</t>
        </is>
      </c>
      <c r="F932" s="53" t="inlineStr">
        <is>
          <t>HARVEY</t>
        </is>
      </c>
      <c r="G932" s="59" t="n"/>
      <c r="N932" s="59" t="n"/>
      <c r="O932" s="59" t="n"/>
      <c r="X932" s="61" t="n"/>
      <c r="Y932" s="61" t="n"/>
    </row>
    <row r="933" ht="14.25" customHeight="1" s="86">
      <c r="E933" s="53" t="inlineStr">
        <is>
          <t>KS</t>
        </is>
      </c>
      <c r="F933" s="53" t="inlineStr">
        <is>
          <t>HASKELL</t>
        </is>
      </c>
      <c r="G933" s="59" t="n"/>
      <c r="N933" s="59" t="n"/>
      <c r="O933" s="59" t="n"/>
      <c r="X933" s="61" t="n"/>
      <c r="Y933" s="61" t="n"/>
    </row>
    <row r="934" ht="14.25" customHeight="1" s="86">
      <c r="E934" s="53" t="inlineStr">
        <is>
          <t>KS</t>
        </is>
      </c>
      <c r="F934" s="53" t="inlineStr">
        <is>
          <t>HODGEMAN</t>
        </is>
      </c>
      <c r="G934" s="59" t="n"/>
      <c r="N934" s="59" t="n"/>
      <c r="O934" s="59" t="n"/>
      <c r="X934" s="61" t="n"/>
      <c r="Y934" s="61" t="n"/>
    </row>
    <row r="935" ht="14.25" customHeight="1" s="86">
      <c r="E935" s="53" t="inlineStr">
        <is>
          <t>KS</t>
        </is>
      </c>
      <c r="F935" s="53" t="inlineStr">
        <is>
          <t>JACKSON</t>
        </is>
      </c>
      <c r="G935" s="59" t="n"/>
      <c r="N935" s="59" t="n"/>
      <c r="O935" s="59" t="n"/>
      <c r="X935" s="61" t="n"/>
      <c r="Y935" s="61" t="n"/>
    </row>
    <row r="936" ht="14.25" customHeight="1" s="86">
      <c r="E936" s="53" t="inlineStr">
        <is>
          <t>KS</t>
        </is>
      </c>
      <c r="F936" s="53" t="inlineStr">
        <is>
          <t>JEFFERSON</t>
        </is>
      </c>
      <c r="G936" s="59" t="n"/>
      <c r="N936" s="59" t="n"/>
      <c r="O936" s="59" t="n"/>
      <c r="X936" s="61" t="n"/>
      <c r="Y936" s="61" t="n"/>
    </row>
    <row r="937" ht="14.25" customHeight="1" s="86">
      <c r="E937" s="53" t="inlineStr">
        <is>
          <t>KS</t>
        </is>
      </c>
      <c r="F937" s="53" t="inlineStr">
        <is>
          <t>JEWELL</t>
        </is>
      </c>
      <c r="G937" s="59" t="n"/>
      <c r="N937" s="59" t="n"/>
      <c r="O937" s="59" t="n"/>
      <c r="X937" s="61" t="n"/>
      <c r="Y937" s="61" t="n"/>
    </row>
    <row r="938" ht="14.25" customHeight="1" s="86">
      <c r="E938" s="53" t="inlineStr">
        <is>
          <t>KS</t>
        </is>
      </c>
      <c r="F938" s="53" t="inlineStr">
        <is>
          <t>JOHNSON</t>
        </is>
      </c>
      <c r="G938" s="59" t="n"/>
      <c r="N938" s="59" t="n"/>
      <c r="O938" s="59" t="n"/>
      <c r="X938" s="61" t="n"/>
      <c r="Y938" s="61" t="n"/>
    </row>
    <row r="939" ht="14.25" customHeight="1" s="86">
      <c r="E939" s="53" t="inlineStr">
        <is>
          <t>KS</t>
        </is>
      </c>
      <c r="F939" s="53" t="inlineStr">
        <is>
          <t>KEARNY</t>
        </is>
      </c>
      <c r="G939" s="59" t="n"/>
      <c r="N939" s="59" t="n"/>
      <c r="O939" s="59" t="n"/>
      <c r="X939" s="61" t="n"/>
      <c r="Y939" s="61" t="n"/>
    </row>
    <row r="940" ht="14.25" customHeight="1" s="86">
      <c r="E940" s="53" t="inlineStr">
        <is>
          <t>KS</t>
        </is>
      </c>
      <c r="F940" s="53" t="inlineStr">
        <is>
          <t>KINGMAN</t>
        </is>
      </c>
      <c r="G940" s="59" t="n"/>
      <c r="N940" s="59" t="n"/>
      <c r="O940" s="59" t="n"/>
      <c r="X940" s="61" t="n"/>
      <c r="Y940" s="61" t="n"/>
    </row>
    <row r="941" ht="14.25" customHeight="1" s="86">
      <c r="E941" s="53" t="inlineStr">
        <is>
          <t>KS</t>
        </is>
      </c>
      <c r="F941" s="53" t="inlineStr">
        <is>
          <t>KIOWA</t>
        </is>
      </c>
      <c r="G941" s="59" t="n"/>
      <c r="N941" s="59" t="n"/>
      <c r="O941" s="59" t="n"/>
      <c r="X941" s="61" t="n"/>
      <c r="Y941" s="61" t="n"/>
    </row>
    <row r="942" ht="14.25" customHeight="1" s="86">
      <c r="E942" s="53" t="inlineStr">
        <is>
          <t>KS</t>
        </is>
      </c>
      <c r="F942" s="53" t="inlineStr">
        <is>
          <t>LABETTE</t>
        </is>
      </c>
      <c r="G942" s="59" t="n"/>
      <c r="N942" s="59" t="n"/>
      <c r="O942" s="59" t="n"/>
      <c r="X942" s="61" t="n"/>
      <c r="Y942" s="61" t="n"/>
    </row>
    <row r="943" ht="14.25" customHeight="1" s="86">
      <c r="E943" s="53" t="inlineStr">
        <is>
          <t>KS</t>
        </is>
      </c>
      <c r="F943" s="53" t="inlineStr">
        <is>
          <t>LANE</t>
        </is>
      </c>
      <c r="G943" s="59" t="n"/>
      <c r="N943" s="59" t="n"/>
      <c r="O943" s="59" t="n"/>
      <c r="X943" s="61" t="n"/>
      <c r="Y943" s="61" t="n"/>
    </row>
    <row r="944" ht="14.25" customHeight="1" s="86">
      <c r="E944" s="53" t="inlineStr">
        <is>
          <t>KS</t>
        </is>
      </c>
      <c r="F944" s="53" t="inlineStr">
        <is>
          <t>LEAVENWORTH</t>
        </is>
      </c>
      <c r="G944" s="59" t="n"/>
      <c r="N944" s="59" t="n"/>
      <c r="O944" s="59" t="n"/>
      <c r="X944" s="61" t="n"/>
      <c r="Y944" s="61" t="n"/>
    </row>
    <row r="945" ht="14.25" customHeight="1" s="86">
      <c r="E945" s="53" t="inlineStr">
        <is>
          <t>KS</t>
        </is>
      </c>
      <c r="F945" s="53" t="inlineStr">
        <is>
          <t>LINCOLN</t>
        </is>
      </c>
      <c r="G945" s="59" t="n"/>
      <c r="N945" s="59" t="n"/>
      <c r="O945" s="59" t="n"/>
      <c r="X945" s="61" t="n"/>
      <c r="Y945" s="61" t="n"/>
    </row>
    <row r="946" ht="14.25" customHeight="1" s="86">
      <c r="E946" s="53" t="inlineStr">
        <is>
          <t>KS</t>
        </is>
      </c>
      <c r="F946" s="53" t="inlineStr">
        <is>
          <t>LINN</t>
        </is>
      </c>
      <c r="G946" s="59" t="n"/>
      <c r="N946" s="59" t="n"/>
      <c r="O946" s="59" t="n"/>
      <c r="X946" s="61" t="n"/>
      <c r="Y946" s="61" t="n"/>
    </row>
    <row r="947" ht="14.25" customHeight="1" s="86">
      <c r="E947" s="53" t="inlineStr">
        <is>
          <t>KS</t>
        </is>
      </c>
      <c r="F947" s="53" t="inlineStr">
        <is>
          <t>LOGAN</t>
        </is>
      </c>
      <c r="G947" s="59" t="n"/>
      <c r="N947" s="59" t="n"/>
      <c r="O947" s="59" t="n"/>
      <c r="X947" s="61" t="n"/>
      <c r="Y947" s="61" t="n"/>
    </row>
    <row r="948" ht="14.25" customHeight="1" s="86">
      <c r="E948" s="53" t="inlineStr">
        <is>
          <t>KS</t>
        </is>
      </c>
      <c r="F948" s="53" t="inlineStr">
        <is>
          <t>LYON</t>
        </is>
      </c>
      <c r="G948" s="59" t="n"/>
      <c r="N948" s="59" t="n"/>
      <c r="O948" s="59" t="n"/>
      <c r="X948" s="61" t="n"/>
      <c r="Y948" s="61" t="n"/>
    </row>
    <row r="949" ht="14.25" customHeight="1" s="86">
      <c r="E949" s="53" t="inlineStr">
        <is>
          <t>KS</t>
        </is>
      </c>
      <c r="F949" s="53" t="inlineStr">
        <is>
          <t>MARION</t>
        </is>
      </c>
      <c r="G949" s="59" t="n"/>
      <c r="N949" s="59" t="n"/>
      <c r="O949" s="59" t="n"/>
      <c r="X949" s="61" t="n"/>
      <c r="Y949" s="61" t="n"/>
    </row>
    <row r="950" ht="14.25" customHeight="1" s="86">
      <c r="E950" s="53" t="inlineStr">
        <is>
          <t>KS</t>
        </is>
      </c>
      <c r="F950" s="53" t="inlineStr">
        <is>
          <t>MARSHALL</t>
        </is>
      </c>
      <c r="G950" s="59" t="n"/>
      <c r="N950" s="59" t="n"/>
      <c r="O950" s="59" t="n"/>
      <c r="X950" s="61" t="n"/>
      <c r="Y950" s="61" t="n"/>
    </row>
    <row r="951" ht="14.25" customHeight="1" s="86">
      <c r="E951" s="53" t="inlineStr">
        <is>
          <t>KS</t>
        </is>
      </c>
      <c r="F951" s="53" t="inlineStr">
        <is>
          <t>MCPHERSON</t>
        </is>
      </c>
      <c r="G951" s="59" t="n"/>
      <c r="N951" s="59" t="n"/>
      <c r="O951" s="59" t="n"/>
      <c r="X951" s="61" t="n"/>
      <c r="Y951" s="61" t="n"/>
    </row>
    <row r="952" ht="14.25" customHeight="1" s="86">
      <c r="E952" s="53" t="inlineStr">
        <is>
          <t>KS</t>
        </is>
      </c>
      <c r="F952" s="53" t="inlineStr">
        <is>
          <t>MEADE</t>
        </is>
      </c>
      <c r="G952" s="59" t="n"/>
      <c r="N952" s="59" t="n"/>
      <c r="O952" s="59" t="n"/>
      <c r="X952" s="61" t="n"/>
      <c r="Y952" s="61" t="n"/>
    </row>
    <row r="953" ht="14.25" customHeight="1" s="86">
      <c r="E953" s="53" t="inlineStr">
        <is>
          <t>KS</t>
        </is>
      </c>
      <c r="F953" s="53" t="inlineStr">
        <is>
          <t>MIAMI</t>
        </is>
      </c>
      <c r="G953" s="59" t="n"/>
      <c r="N953" s="59" t="n"/>
      <c r="O953" s="59" t="n"/>
      <c r="X953" s="61" t="n"/>
      <c r="Y953" s="61" t="n"/>
    </row>
    <row r="954" ht="14.25" customHeight="1" s="86">
      <c r="E954" s="53" t="inlineStr">
        <is>
          <t>KS</t>
        </is>
      </c>
      <c r="F954" s="53" t="inlineStr">
        <is>
          <t>MITCHELL</t>
        </is>
      </c>
      <c r="G954" s="59" t="n"/>
      <c r="N954" s="59" t="n"/>
      <c r="O954" s="59" t="n"/>
      <c r="X954" s="61" t="n"/>
      <c r="Y954" s="61" t="n"/>
    </row>
    <row r="955" ht="14.25" customHeight="1" s="86">
      <c r="E955" s="53" t="inlineStr">
        <is>
          <t>KS</t>
        </is>
      </c>
      <c r="F955" s="53" t="inlineStr">
        <is>
          <t>MONTGOMERY</t>
        </is>
      </c>
      <c r="G955" s="59" t="n"/>
      <c r="N955" s="59" t="n"/>
      <c r="O955" s="59" t="n"/>
      <c r="X955" s="61" t="n"/>
      <c r="Y955" s="61" t="n"/>
    </row>
    <row r="956" ht="14.25" customHeight="1" s="86">
      <c r="E956" s="53" t="inlineStr">
        <is>
          <t>KS</t>
        </is>
      </c>
      <c r="F956" s="53" t="inlineStr">
        <is>
          <t>MORRIS</t>
        </is>
      </c>
      <c r="G956" s="59" t="n"/>
      <c r="N956" s="59" t="n"/>
      <c r="O956" s="59" t="n"/>
      <c r="X956" s="61" t="n"/>
      <c r="Y956" s="61" t="n"/>
    </row>
    <row r="957" ht="14.25" customHeight="1" s="86">
      <c r="E957" s="53" t="inlineStr">
        <is>
          <t>KS</t>
        </is>
      </c>
      <c r="F957" s="53" t="inlineStr">
        <is>
          <t>MORTON</t>
        </is>
      </c>
      <c r="G957" s="59" t="n"/>
      <c r="N957" s="59" t="n"/>
      <c r="O957" s="59" t="n"/>
      <c r="X957" s="61" t="n"/>
      <c r="Y957" s="61" t="n"/>
    </row>
    <row r="958" ht="14.25" customHeight="1" s="86">
      <c r="E958" s="53" t="inlineStr">
        <is>
          <t>KS</t>
        </is>
      </c>
      <c r="F958" s="53" t="inlineStr">
        <is>
          <t>NEMAHA</t>
        </is>
      </c>
      <c r="G958" s="59" t="n"/>
      <c r="N958" s="59" t="n"/>
      <c r="O958" s="59" t="n"/>
      <c r="X958" s="61" t="n"/>
      <c r="Y958" s="61" t="n"/>
    </row>
    <row r="959" ht="14.25" customHeight="1" s="86">
      <c r="E959" s="53" t="inlineStr">
        <is>
          <t>KS</t>
        </is>
      </c>
      <c r="F959" s="53" t="inlineStr">
        <is>
          <t>NEOSHO</t>
        </is>
      </c>
      <c r="G959" s="59" t="n"/>
      <c r="N959" s="59" t="n"/>
      <c r="O959" s="59" t="n"/>
      <c r="X959" s="61" t="n"/>
      <c r="Y959" s="61" t="n"/>
    </row>
    <row r="960" ht="14.25" customHeight="1" s="86">
      <c r="E960" s="53" t="inlineStr">
        <is>
          <t>KS</t>
        </is>
      </c>
      <c r="F960" s="53" t="inlineStr">
        <is>
          <t>NESS</t>
        </is>
      </c>
      <c r="G960" s="59" t="n"/>
      <c r="N960" s="59" t="n"/>
      <c r="O960" s="59" t="n"/>
      <c r="X960" s="61" t="n"/>
      <c r="Y960" s="61" t="n"/>
    </row>
    <row r="961" ht="14.25" customHeight="1" s="86">
      <c r="E961" s="53" t="inlineStr">
        <is>
          <t>KS</t>
        </is>
      </c>
      <c r="F961" s="53" t="inlineStr">
        <is>
          <t>NORTON</t>
        </is>
      </c>
      <c r="G961" s="59" t="n"/>
      <c r="N961" s="59" t="n"/>
      <c r="O961" s="59" t="n"/>
      <c r="X961" s="61" t="n"/>
      <c r="Y961" s="61" t="n"/>
    </row>
    <row r="962" ht="14.25" customHeight="1" s="86">
      <c r="E962" s="53" t="inlineStr">
        <is>
          <t>KS</t>
        </is>
      </c>
      <c r="F962" s="53" t="inlineStr">
        <is>
          <t>OSAGE</t>
        </is>
      </c>
      <c r="G962" s="59" t="n"/>
      <c r="N962" s="59" t="n"/>
      <c r="O962" s="59" t="n"/>
      <c r="X962" s="61" t="n"/>
      <c r="Y962" s="61" t="n"/>
    </row>
    <row r="963" ht="14.25" customHeight="1" s="86">
      <c r="E963" s="53" t="inlineStr">
        <is>
          <t>KS</t>
        </is>
      </c>
      <c r="F963" s="53" t="inlineStr">
        <is>
          <t>OSBORNE</t>
        </is>
      </c>
      <c r="G963" s="59" t="n"/>
      <c r="N963" s="59" t="n"/>
      <c r="O963" s="59" t="n"/>
      <c r="X963" s="61" t="n"/>
      <c r="Y963" s="61" t="n"/>
    </row>
    <row r="964" ht="14.25" customHeight="1" s="86">
      <c r="E964" s="53" t="inlineStr">
        <is>
          <t>KS</t>
        </is>
      </c>
      <c r="F964" s="53" t="inlineStr">
        <is>
          <t>OTTAWA</t>
        </is>
      </c>
      <c r="G964" s="59" t="n"/>
      <c r="N964" s="59" t="n"/>
      <c r="O964" s="59" t="n"/>
      <c r="X964" s="61" t="n"/>
      <c r="Y964" s="61" t="n"/>
    </row>
    <row r="965" ht="14.25" customHeight="1" s="86">
      <c r="E965" s="53" t="inlineStr">
        <is>
          <t>KS</t>
        </is>
      </c>
      <c r="F965" s="53" t="inlineStr">
        <is>
          <t>PAWNEE</t>
        </is>
      </c>
      <c r="G965" s="59" t="n"/>
      <c r="N965" s="59" t="n"/>
      <c r="O965" s="59" t="n"/>
      <c r="X965" s="61" t="n"/>
      <c r="Y965" s="61" t="n"/>
    </row>
    <row r="966" ht="14.25" customHeight="1" s="86">
      <c r="E966" s="53" t="inlineStr">
        <is>
          <t>KS</t>
        </is>
      </c>
      <c r="F966" s="53" t="inlineStr">
        <is>
          <t>PHILLIPS</t>
        </is>
      </c>
      <c r="G966" s="59" t="n"/>
      <c r="N966" s="59" t="n"/>
      <c r="O966" s="59" t="n"/>
      <c r="X966" s="61" t="n"/>
      <c r="Y966" s="61" t="n"/>
    </row>
    <row r="967" ht="14.25" customHeight="1" s="86">
      <c r="E967" s="53" t="inlineStr">
        <is>
          <t>KS</t>
        </is>
      </c>
      <c r="F967" s="53" t="inlineStr">
        <is>
          <t>POTTAWATOMIE</t>
        </is>
      </c>
      <c r="G967" s="59" t="n"/>
      <c r="N967" s="59" t="n"/>
      <c r="O967" s="59" t="n"/>
      <c r="X967" s="61" t="n"/>
      <c r="Y967" s="61" t="n"/>
    </row>
    <row r="968" ht="14.25" customHeight="1" s="86">
      <c r="E968" s="53" t="inlineStr">
        <is>
          <t>KS</t>
        </is>
      </c>
      <c r="F968" s="53" t="inlineStr">
        <is>
          <t>PRATT</t>
        </is>
      </c>
      <c r="G968" s="59" t="n"/>
      <c r="N968" s="59" t="n"/>
      <c r="O968" s="59" t="n"/>
      <c r="X968" s="61" t="n"/>
      <c r="Y968" s="61" t="n"/>
    </row>
    <row r="969" ht="14.25" customHeight="1" s="86">
      <c r="E969" s="53" t="inlineStr">
        <is>
          <t>KS</t>
        </is>
      </c>
      <c r="F969" s="53" t="inlineStr">
        <is>
          <t>RAWLINS</t>
        </is>
      </c>
      <c r="G969" s="59" t="n"/>
      <c r="N969" s="59" t="n"/>
      <c r="O969" s="59" t="n"/>
      <c r="X969" s="61" t="n"/>
      <c r="Y969" s="61" t="n"/>
    </row>
    <row r="970" ht="14.25" customHeight="1" s="86">
      <c r="E970" s="53" t="inlineStr">
        <is>
          <t>KS</t>
        </is>
      </c>
      <c r="F970" s="53" t="inlineStr">
        <is>
          <t>RENO</t>
        </is>
      </c>
      <c r="G970" s="59" t="n"/>
      <c r="N970" s="59" t="n"/>
      <c r="O970" s="59" t="n"/>
      <c r="X970" s="61" t="n"/>
      <c r="Y970" s="61" t="n"/>
    </row>
    <row r="971" ht="14.25" customHeight="1" s="86">
      <c r="E971" s="53" t="inlineStr">
        <is>
          <t>KS</t>
        </is>
      </c>
      <c r="F971" s="53" t="inlineStr">
        <is>
          <t>REPUBLIC</t>
        </is>
      </c>
      <c r="G971" s="59" t="n"/>
      <c r="N971" s="59" t="n"/>
      <c r="O971" s="59" t="n"/>
      <c r="X971" s="61" t="n"/>
      <c r="Y971" s="61" t="n"/>
    </row>
    <row r="972" ht="14.25" customHeight="1" s="86">
      <c r="E972" s="53" t="inlineStr">
        <is>
          <t>KS</t>
        </is>
      </c>
      <c r="F972" s="53" t="inlineStr">
        <is>
          <t>RICE</t>
        </is>
      </c>
      <c r="G972" s="59" t="n"/>
      <c r="N972" s="59" t="n"/>
      <c r="O972" s="59" t="n"/>
      <c r="X972" s="61" t="n"/>
      <c r="Y972" s="61" t="n"/>
    </row>
    <row r="973" ht="14.25" customHeight="1" s="86">
      <c r="E973" s="53" t="inlineStr">
        <is>
          <t>KS</t>
        </is>
      </c>
      <c r="F973" s="53" t="inlineStr">
        <is>
          <t>RILEY</t>
        </is>
      </c>
      <c r="G973" s="59" t="n"/>
      <c r="N973" s="59" t="n"/>
      <c r="O973" s="59" t="n"/>
      <c r="X973" s="61" t="n"/>
      <c r="Y973" s="61" t="n"/>
    </row>
    <row r="974" ht="14.25" customHeight="1" s="86">
      <c r="E974" s="53" t="inlineStr">
        <is>
          <t>KS</t>
        </is>
      </c>
      <c r="F974" s="53" t="inlineStr">
        <is>
          <t>ROOKS</t>
        </is>
      </c>
      <c r="G974" s="59" t="n"/>
      <c r="N974" s="59" t="n"/>
      <c r="O974" s="59" t="n"/>
      <c r="X974" s="61" t="n"/>
      <c r="Y974" s="61" t="n"/>
    </row>
    <row r="975" ht="14.25" customHeight="1" s="86">
      <c r="E975" s="53" t="inlineStr">
        <is>
          <t>KS</t>
        </is>
      </c>
      <c r="F975" s="53" t="inlineStr">
        <is>
          <t>RUSH</t>
        </is>
      </c>
      <c r="G975" s="59" t="n"/>
      <c r="N975" s="59" t="n"/>
      <c r="O975" s="59" t="n"/>
      <c r="X975" s="61" t="n"/>
      <c r="Y975" s="61" t="n"/>
    </row>
    <row r="976" ht="14.25" customHeight="1" s="86">
      <c r="E976" s="53" t="inlineStr">
        <is>
          <t>KS</t>
        </is>
      </c>
      <c r="F976" s="53" t="inlineStr">
        <is>
          <t>RUSSELL</t>
        </is>
      </c>
      <c r="G976" s="59" t="n"/>
      <c r="N976" s="59" t="n"/>
      <c r="O976" s="59" t="n"/>
      <c r="X976" s="61" t="n"/>
      <c r="Y976" s="61" t="n"/>
    </row>
    <row r="977" ht="14.25" customHeight="1" s="86">
      <c r="E977" s="53" t="inlineStr">
        <is>
          <t>KS</t>
        </is>
      </c>
      <c r="F977" s="53" t="inlineStr">
        <is>
          <t>SALINE</t>
        </is>
      </c>
      <c r="G977" s="59" t="n"/>
      <c r="N977" s="59" t="n"/>
      <c r="O977" s="59" t="n"/>
      <c r="X977" s="61" t="n"/>
      <c r="Y977" s="61" t="n"/>
    </row>
    <row r="978" ht="14.25" customHeight="1" s="86">
      <c r="E978" s="53" t="inlineStr">
        <is>
          <t>KS</t>
        </is>
      </c>
      <c r="F978" s="53" t="inlineStr">
        <is>
          <t>SCOTT</t>
        </is>
      </c>
      <c r="G978" s="59" t="n"/>
      <c r="N978" s="59" t="n"/>
      <c r="O978" s="59" t="n"/>
      <c r="X978" s="61" t="n"/>
      <c r="Y978" s="61" t="n"/>
    </row>
    <row r="979" ht="14.25" customHeight="1" s="86">
      <c r="E979" s="53" t="inlineStr">
        <is>
          <t>KS</t>
        </is>
      </c>
      <c r="F979" s="53" t="inlineStr">
        <is>
          <t>SEDGWICK</t>
        </is>
      </c>
      <c r="G979" s="59" t="n"/>
      <c r="N979" s="59" t="n"/>
      <c r="O979" s="59" t="n"/>
      <c r="X979" s="61" t="n"/>
      <c r="Y979" s="61" t="n"/>
    </row>
    <row r="980" ht="14.25" customHeight="1" s="86">
      <c r="E980" s="53" t="inlineStr">
        <is>
          <t>KS</t>
        </is>
      </c>
      <c r="F980" s="53" t="inlineStr">
        <is>
          <t>SEWARD</t>
        </is>
      </c>
      <c r="G980" s="59" t="n"/>
      <c r="N980" s="59" t="n"/>
      <c r="O980" s="59" t="n"/>
      <c r="X980" s="61" t="n"/>
      <c r="Y980" s="61" t="n"/>
    </row>
    <row r="981" ht="14.25" customHeight="1" s="86">
      <c r="E981" s="53" t="inlineStr">
        <is>
          <t>KS</t>
        </is>
      </c>
      <c r="F981" s="53" t="inlineStr">
        <is>
          <t>SHAWNEE</t>
        </is>
      </c>
      <c r="G981" s="59" t="n"/>
      <c r="N981" s="59" t="n"/>
      <c r="O981" s="59" t="n"/>
      <c r="X981" s="61" t="n"/>
      <c r="Y981" s="61" t="n"/>
    </row>
    <row r="982" ht="14.25" customHeight="1" s="86">
      <c r="E982" s="53" t="inlineStr">
        <is>
          <t>KS</t>
        </is>
      </c>
      <c r="F982" s="53" t="inlineStr">
        <is>
          <t>SHERIDAN</t>
        </is>
      </c>
      <c r="G982" s="59" t="n"/>
      <c r="N982" s="59" t="n"/>
      <c r="O982" s="59" t="n"/>
      <c r="X982" s="61" t="n"/>
      <c r="Y982" s="61" t="n"/>
    </row>
    <row r="983" ht="14.25" customHeight="1" s="86">
      <c r="E983" s="53" t="inlineStr">
        <is>
          <t>KS</t>
        </is>
      </c>
      <c r="F983" s="53" t="inlineStr">
        <is>
          <t>SHERMAN</t>
        </is>
      </c>
      <c r="G983" s="59" t="n"/>
      <c r="N983" s="59" t="n"/>
      <c r="O983" s="59" t="n"/>
      <c r="X983" s="61" t="n"/>
      <c r="Y983" s="61" t="n"/>
    </row>
    <row r="984" ht="14.25" customHeight="1" s="86">
      <c r="E984" s="53" t="inlineStr">
        <is>
          <t>KS</t>
        </is>
      </c>
      <c r="F984" s="53" t="inlineStr">
        <is>
          <t>SMITH</t>
        </is>
      </c>
      <c r="G984" s="59" t="n"/>
      <c r="N984" s="59" t="n"/>
      <c r="O984" s="59" t="n"/>
      <c r="X984" s="61" t="n"/>
      <c r="Y984" s="61" t="n"/>
    </row>
    <row r="985" ht="14.25" customHeight="1" s="86">
      <c r="E985" s="53" t="inlineStr">
        <is>
          <t>KS</t>
        </is>
      </c>
      <c r="F985" s="53" t="inlineStr">
        <is>
          <t>STAFFORD</t>
        </is>
      </c>
      <c r="G985" s="59" t="n"/>
      <c r="N985" s="59" t="n"/>
      <c r="O985" s="59" t="n"/>
      <c r="X985" s="61" t="n"/>
      <c r="Y985" s="61" t="n"/>
    </row>
    <row r="986" ht="14.25" customHeight="1" s="86">
      <c r="E986" s="53" t="inlineStr">
        <is>
          <t>KS</t>
        </is>
      </c>
      <c r="F986" s="53" t="inlineStr">
        <is>
          <t>STANTON</t>
        </is>
      </c>
      <c r="G986" s="59" t="n"/>
      <c r="N986" s="59" t="n"/>
      <c r="O986" s="59" t="n"/>
      <c r="X986" s="61" t="n"/>
      <c r="Y986" s="61" t="n"/>
    </row>
    <row r="987" ht="14.25" customHeight="1" s="86">
      <c r="E987" s="53" t="inlineStr">
        <is>
          <t>KS</t>
        </is>
      </c>
      <c r="F987" s="53" t="inlineStr">
        <is>
          <t>STEVENS</t>
        </is>
      </c>
      <c r="G987" s="59" t="n"/>
      <c r="N987" s="59" t="n"/>
      <c r="O987" s="59" t="n"/>
      <c r="X987" s="61" t="n"/>
      <c r="Y987" s="61" t="n"/>
    </row>
    <row r="988" ht="14.25" customHeight="1" s="86">
      <c r="E988" s="53" t="inlineStr">
        <is>
          <t>KS</t>
        </is>
      </c>
      <c r="F988" s="53" t="inlineStr">
        <is>
          <t>SUMNER</t>
        </is>
      </c>
      <c r="G988" s="59" t="n"/>
      <c r="N988" s="59" t="n"/>
      <c r="O988" s="59" t="n"/>
      <c r="X988" s="61" t="n"/>
      <c r="Y988" s="61" t="n"/>
    </row>
    <row r="989" ht="14.25" customHeight="1" s="86">
      <c r="E989" s="53" t="inlineStr">
        <is>
          <t>KS</t>
        </is>
      </c>
      <c r="F989" s="53" t="inlineStr">
        <is>
          <t>THOMAS</t>
        </is>
      </c>
      <c r="G989" s="59" t="n"/>
      <c r="N989" s="59" t="n"/>
      <c r="O989" s="59" t="n"/>
      <c r="X989" s="61" t="n"/>
      <c r="Y989" s="61" t="n"/>
    </row>
    <row r="990" ht="14.25" customHeight="1" s="86">
      <c r="E990" s="53" t="inlineStr">
        <is>
          <t>KS</t>
        </is>
      </c>
      <c r="F990" s="53" t="inlineStr">
        <is>
          <t>TREGO</t>
        </is>
      </c>
      <c r="G990" s="59" t="n"/>
      <c r="N990" s="59" t="n"/>
      <c r="O990" s="59" t="n"/>
      <c r="X990" s="61" t="n"/>
      <c r="Y990" s="61" t="n"/>
    </row>
    <row r="991" ht="14.25" customHeight="1" s="86">
      <c r="E991" s="53" t="inlineStr">
        <is>
          <t>KS</t>
        </is>
      </c>
      <c r="F991" s="53" t="inlineStr">
        <is>
          <t>WABAUNSEE</t>
        </is>
      </c>
      <c r="G991" s="59" t="n"/>
      <c r="N991" s="59" t="n"/>
      <c r="O991" s="59" t="n"/>
      <c r="X991" s="61" t="n"/>
      <c r="Y991" s="61" t="n"/>
    </row>
    <row r="992" ht="14.25" customHeight="1" s="86">
      <c r="E992" s="53" t="inlineStr">
        <is>
          <t>KS</t>
        </is>
      </c>
      <c r="F992" s="53" t="inlineStr">
        <is>
          <t>WALLACE</t>
        </is>
      </c>
      <c r="G992" s="59" t="n"/>
      <c r="N992" s="59" t="n"/>
      <c r="O992" s="59" t="n"/>
      <c r="X992" s="61" t="n"/>
      <c r="Y992" s="61" t="n"/>
    </row>
    <row r="993" ht="14.25" customHeight="1" s="86">
      <c r="E993" s="53" t="inlineStr">
        <is>
          <t>KS</t>
        </is>
      </c>
      <c r="F993" s="53" t="inlineStr">
        <is>
          <t>WASHINGTON</t>
        </is>
      </c>
      <c r="G993" s="59" t="n"/>
      <c r="N993" s="59" t="n"/>
      <c r="O993" s="59" t="n"/>
      <c r="X993" s="61" t="n"/>
      <c r="Y993" s="61" t="n"/>
    </row>
    <row r="994" ht="14.25" customHeight="1" s="86">
      <c r="E994" s="53" t="inlineStr">
        <is>
          <t>KS</t>
        </is>
      </c>
      <c r="F994" s="53" t="inlineStr">
        <is>
          <t>WICHITA</t>
        </is>
      </c>
      <c r="G994" s="59" t="n"/>
      <c r="N994" s="59" t="n"/>
      <c r="O994" s="59" t="n"/>
      <c r="X994" s="61" t="n"/>
      <c r="Y994" s="61" t="n"/>
    </row>
    <row r="995" ht="14.25" customHeight="1" s="86">
      <c r="E995" s="53" t="inlineStr">
        <is>
          <t>KS</t>
        </is>
      </c>
      <c r="F995" s="53" t="inlineStr">
        <is>
          <t>WILSON</t>
        </is>
      </c>
      <c r="G995" s="59" t="n"/>
      <c r="N995" s="59" t="n"/>
      <c r="O995" s="59" t="n"/>
      <c r="X995" s="61" t="n"/>
      <c r="Y995" s="61" t="n"/>
    </row>
    <row r="996" ht="14.25" customHeight="1" s="86">
      <c r="E996" s="53" t="inlineStr">
        <is>
          <t>KS</t>
        </is>
      </c>
      <c r="F996" s="53" t="inlineStr">
        <is>
          <t>WOODSON</t>
        </is>
      </c>
      <c r="G996" s="59" t="n"/>
      <c r="N996" s="59" t="n"/>
      <c r="O996" s="59" t="n"/>
      <c r="X996" s="61" t="n"/>
      <c r="Y996" s="61" t="n"/>
    </row>
    <row r="997" ht="14.25" customHeight="1" s="86">
      <c r="E997" s="53" t="inlineStr">
        <is>
          <t>KS</t>
        </is>
      </c>
      <c r="F997" s="53" t="inlineStr">
        <is>
          <t>WYANDOTTE</t>
        </is>
      </c>
      <c r="G997" s="59" t="n"/>
      <c r="N997" s="59" t="n"/>
      <c r="O997" s="59" t="n"/>
      <c r="X997" s="61" t="n"/>
      <c r="Y997" s="61" t="n"/>
    </row>
    <row r="998" ht="14.25" customHeight="1" s="86">
      <c r="E998" s="53" t="inlineStr">
        <is>
          <t>KY</t>
        </is>
      </c>
      <c r="F998" s="53" t="inlineStr">
        <is>
          <t>ADAIR</t>
        </is>
      </c>
      <c r="G998" s="59" t="n"/>
      <c r="N998" s="59" t="n"/>
      <c r="O998" s="59" t="n"/>
      <c r="X998" s="61" t="n"/>
      <c r="Y998" s="61" t="n"/>
    </row>
    <row r="999" ht="14.25" customHeight="1" s="86">
      <c r="E999" s="53" t="inlineStr">
        <is>
          <t>KY</t>
        </is>
      </c>
      <c r="F999" s="53" t="inlineStr">
        <is>
          <t>ALLEN</t>
        </is>
      </c>
      <c r="G999" s="59" t="n"/>
      <c r="N999" s="59" t="n"/>
      <c r="O999" s="59" t="n"/>
      <c r="X999" s="61" t="n"/>
      <c r="Y999" s="61" t="n"/>
    </row>
    <row r="1000" ht="14.25" customHeight="1" s="86">
      <c r="E1000" s="53" t="inlineStr">
        <is>
          <t>KY</t>
        </is>
      </c>
      <c r="F1000" s="53" t="inlineStr">
        <is>
          <t>ANDERSON</t>
        </is>
      </c>
      <c r="G1000" s="59" t="n"/>
      <c r="N1000" s="59" t="n"/>
      <c r="O1000" s="59" t="n"/>
      <c r="X1000" s="61" t="n"/>
      <c r="Y1000" s="61" t="n"/>
    </row>
    <row r="1001" ht="14.25" customHeight="1" s="86">
      <c r="E1001" s="53" t="inlineStr">
        <is>
          <t>KY</t>
        </is>
      </c>
      <c r="F1001" s="53" t="inlineStr">
        <is>
          <t>BALLARD</t>
        </is>
      </c>
      <c r="G1001" s="59" t="n"/>
      <c r="N1001" s="59" t="n"/>
      <c r="O1001" s="59" t="n"/>
      <c r="X1001" s="61" t="n"/>
      <c r="Y1001" s="61" t="n"/>
    </row>
    <row r="1002" ht="14.25" customHeight="1" s="86">
      <c r="E1002" s="53" t="inlineStr">
        <is>
          <t>KY</t>
        </is>
      </c>
      <c r="F1002" s="53" t="inlineStr">
        <is>
          <t>BARREN</t>
        </is>
      </c>
      <c r="G1002" s="59" t="n"/>
      <c r="N1002" s="59" t="n"/>
      <c r="O1002" s="59" t="n"/>
      <c r="X1002" s="61" t="n"/>
      <c r="Y1002" s="61" t="n"/>
    </row>
    <row r="1003" ht="14.25" customHeight="1" s="86">
      <c r="E1003" s="53" t="inlineStr">
        <is>
          <t>KY</t>
        </is>
      </c>
      <c r="F1003" s="53" t="inlineStr">
        <is>
          <t>BATH</t>
        </is>
      </c>
      <c r="G1003" s="59" t="n"/>
      <c r="N1003" s="59" t="n"/>
      <c r="O1003" s="59" t="n"/>
      <c r="X1003" s="61" t="n"/>
      <c r="Y1003" s="61" t="n"/>
    </row>
    <row r="1004" ht="14.25" customHeight="1" s="86">
      <c r="E1004" s="53" t="inlineStr">
        <is>
          <t>KY</t>
        </is>
      </c>
      <c r="F1004" s="53" t="inlineStr">
        <is>
          <t>BELL</t>
        </is>
      </c>
      <c r="G1004" s="59" t="n"/>
      <c r="N1004" s="59" t="n"/>
      <c r="O1004" s="59" t="n"/>
      <c r="X1004" s="61" t="n"/>
      <c r="Y1004" s="61" t="n"/>
    </row>
    <row r="1005" ht="14.25" customHeight="1" s="86">
      <c r="E1005" s="53" t="inlineStr">
        <is>
          <t>KY</t>
        </is>
      </c>
      <c r="F1005" s="53" t="inlineStr">
        <is>
          <t>BOONE</t>
        </is>
      </c>
      <c r="G1005" s="59" t="n"/>
      <c r="N1005" s="59" t="n"/>
      <c r="O1005" s="59" t="n"/>
      <c r="X1005" s="61" t="n"/>
      <c r="Y1005" s="61" t="n"/>
    </row>
    <row r="1006" ht="14.25" customHeight="1" s="86">
      <c r="E1006" s="53" t="inlineStr">
        <is>
          <t>KY</t>
        </is>
      </c>
      <c r="F1006" s="53" t="inlineStr">
        <is>
          <t>BOURBON</t>
        </is>
      </c>
      <c r="G1006" s="59" t="n"/>
      <c r="N1006" s="59" t="n"/>
      <c r="O1006" s="59" t="n"/>
      <c r="X1006" s="61" t="n"/>
      <c r="Y1006" s="61" t="n"/>
    </row>
    <row r="1007" ht="14.25" customHeight="1" s="86">
      <c r="E1007" s="53" t="inlineStr">
        <is>
          <t>KY</t>
        </is>
      </c>
      <c r="F1007" s="53" t="inlineStr">
        <is>
          <t>BOYD</t>
        </is>
      </c>
      <c r="G1007" s="59" t="n"/>
      <c r="N1007" s="59" t="n"/>
      <c r="O1007" s="59" t="n"/>
      <c r="X1007" s="61" t="n"/>
      <c r="Y1007" s="61" t="n"/>
    </row>
    <row r="1008" ht="14.25" customHeight="1" s="86">
      <c r="E1008" s="53" t="inlineStr">
        <is>
          <t>KY</t>
        </is>
      </c>
      <c r="F1008" s="53" t="inlineStr">
        <is>
          <t>BOYLE</t>
        </is>
      </c>
      <c r="G1008" s="59" t="n"/>
      <c r="N1008" s="59" t="n"/>
      <c r="O1008" s="59" t="n"/>
      <c r="X1008" s="61" t="n"/>
      <c r="Y1008" s="61" t="n"/>
    </row>
    <row r="1009" ht="14.25" customHeight="1" s="86">
      <c r="E1009" s="53" t="inlineStr">
        <is>
          <t>KY</t>
        </is>
      </c>
      <c r="F1009" s="53" t="inlineStr">
        <is>
          <t>BRACKEN</t>
        </is>
      </c>
      <c r="G1009" s="59" t="n"/>
      <c r="N1009" s="59" t="n"/>
      <c r="O1009" s="59" t="n"/>
      <c r="X1009" s="61" t="n"/>
      <c r="Y1009" s="61" t="n"/>
    </row>
    <row r="1010" ht="14.25" customHeight="1" s="86">
      <c r="E1010" s="53" t="inlineStr">
        <is>
          <t>KY</t>
        </is>
      </c>
      <c r="F1010" s="53" t="inlineStr">
        <is>
          <t>BREATHITT</t>
        </is>
      </c>
      <c r="G1010" s="59" t="n"/>
      <c r="N1010" s="59" t="n"/>
      <c r="O1010" s="59" t="n"/>
      <c r="X1010" s="61" t="n"/>
      <c r="Y1010" s="61" t="n"/>
    </row>
    <row r="1011" ht="14.25" customHeight="1" s="86">
      <c r="E1011" s="53" t="inlineStr">
        <is>
          <t>KY</t>
        </is>
      </c>
      <c r="F1011" s="53" t="inlineStr">
        <is>
          <t>BRECKINRIDGE</t>
        </is>
      </c>
      <c r="G1011" s="59" t="n"/>
      <c r="N1011" s="59" t="n"/>
      <c r="O1011" s="59" t="n"/>
      <c r="X1011" s="61" t="n"/>
      <c r="Y1011" s="61" t="n"/>
    </row>
    <row r="1012" ht="14.25" customHeight="1" s="86">
      <c r="E1012" s="53" t="inlineStr">
        <is>
          <t>KY</t>
        </is>
      </c>
      <c r="F1012" s="53" t="inlineStr">
        <is>
          <t>BULLITT</t>
        </is>
      </c>
      <c r="G1012" s="59" t="n"/>
      <c r="N1012" s="59" t="n"/>
      <c r="O1012" s="59" t="n"/>
      <c r="X1012" s="61" t="n"/>
      <c r="Y1012" s="61" t="n"/>
    </row>
    <row r="1013" ht="14.25" customHeight="1" s="86">
      <c r="E1013" s="53" t="inlineStr">
        <is>
          <t>KY</t>
        </is>
      </c>
      <c r="F1013" s="53" t="inlineStr">
        <is>
          <t>BUTLER</t>
        </is>
      </c>
      <c r="G1013" s="59" t="n"/>
      <c r="N1013" s="59" t="n"/>
      <c r="O1013" s="59" t="n"/>
      <c r="X1013" s="61" t="n"/>
      <c r="Y1013" s="61" t="n"/>
    </row>
    <row r="1014" ht="14.25" customHeight="1" s="86">
      <c r="E1014" s="53" t="inlineStr">
        <is>
          <t>KY</t>
        </is>
      </c>
      <c r="F1014" s="53" t="inlineStr">
        <is>
          <t>CALDWELL</t>
        </is>
      </c>
      <c r="G1014" s="59" t="n"/>
      <c r="N1014" s="59" t="n"/>
      <c r="O1014" s="59" t="n"/>
      <c r="X1014" s="61" t="n"/>
      <c r="Y1014" s="61" t="n"/>
    </row>
    <row r="1015" ht="14.25" customHeight="1" s="86">
      <c r="E1015" s="53" t="inlineStr">
        <is>
          <t>KY</t>
        </is>
      </c>
      <c r="F1015" s="53" t="inlineStr">
        <is>
          <t>CALLOWAY</t>
        </is>
      </c>
      <c r="G1015" s="59" t="n"/>
      <c r="N1015" s="59" t="n"/>
      <c r="O1015" s="59" t="n"/>
      <c r="X1015" s="61" t="n"/>
      <c r="Y1015" s="61" t="n"/>
    </row>
    <row r="1016" ht="14.25" customHeight="1" s="86">
      <c r="E1016" s="53" t="inlineStr">
        <is>
          <t>KY</t>
        </is>
      </c>
      <c r="F1016" s="53" t="inlineStr">
        <is>
          <t>CAMPBELL</t>
        </is>
      </c>
      <c r="G1016" s="59" t="n"/>
      <c r="N1016" s="59" t="n"/>
      <c r="O1016" s="59" t="n"/>
      <c r="X1016" s="61" t="n"/>
      <c r="Y1016" s="61" t="n"/>
    </row>
    <row r="1017" ht="14.25" customHeight="1" s="86">
      <c r="E1017" s="53" t="inlineStr">
        <is>
          <t>KY</t>
        </is>
      </c>
      <c r="F1017" s="53" t="inlineStr">
        <is>
          <t>CARLISLE</t>
        </is>
      </c>
      <c r="G1017" s="59" t="n"/>
      <c r="N1017" s="59" t="n"/>
      <c r="O1017" s="59" t="n"/>
      <c r="X1017" s="61" t="n"/>
      <c r="Y1017" s="61" t="n"/>
    </row>
    <row r="1018" ht="14.25" customHeight="1" s="86">
      <c r="E1018" s="53" t="inlineStr">
        <is>
          <t>KY</t>
        </is>
      </c>
      <c r="F1018" s="53" t="inlineStr">
        <is>
          <t>CARROLL</t>
        </is>
      </c>
      <c r="G1018" s="59" t="n"/>
      <c r="N1018" s="59" t="n"/>
      <c r="O1018" s="59" t="n"/>
      <c r="X1018" s="61" t="n"/>
      <c r="Y1018" s="61" t="n"/>
    </row>
    <row r="1019" ht="14.25" customHeight="1" s="86">
      <c r="E1019" s="53" t="inlineStr">
        <is>
          <t>KY</t>
        </is>
      </c>
      <c r="F1019" s="53" t="inlineStr">
        <is>
          <t>CARTER</t>
        </is>
      </c>
      <c r="G1019" s="59" t="n"/>
      <c r="N1019" s="59" t="n"/>
      <c r="O1019" s="59" t="n"/>
      <c r="X1019" s="61" t="n"/>
      <c r="Y1019" s="61" t="n"/>
    </row>
    <row r="1020" ht="14.25" customHeight="1" s="86">
      <c r="E1020" s="53" t="inlineStr">
        <is>
          <t>KY</t>
        </is>
      </c>
      <c r="F1020" s="53" t="inlineStr">
        <is>
          <t>CASEY</t>
        </is>
      </c>
      <c r="G1020" s="59" t="n"/>
      <c r="N1020" s="59" t="n"/>
      <c r="O1020" s="59" t="n"/>
      <c r="X1020" s="61" t="n"/>
      <c r="Y1020" s="61" t="n"/>
    </row>
    <row r="1021" ht="14.25" customHeight="1" s="86">
      <c r="E1021" s="53" t="inlineStr">
        <is>
          <t>KY</t>
        </is>
      </c>
      <c r="F1021" s="53" t="inlineStr">
        <is>
          <t>CHRISTIAN</t>
        </is>
      </c>
      <c r="G1021" s="59" t="n"/>
      <c r="N1021" s="59" t="n"/>
      <c r="O1021" s="59" t="n"/>
      <c r="X1021" s="61" t="n"/>
      <c r="Y1021" s="61" t="n"/>
    </row>
    <row r="1022" ht="14.25" customHeight="1" s="86">
      <c r="E1022" s="53" t="inlineStr">
        <is>
          <t>KY</t>
        </is>
      </c>
      <c r="F1022" s="53" t="inlineStr">
        <is>
          <t>CLARK</t>
        </is>
      </c>
      <c r="G1022" s="59" t="n"/>
      <c r="N1022" s="59" t="n"/>
      <c r="O1022" s="59" t="n"/>
      <c r="X1022" s="61" t="n"/>
      <c r="Y1022" s="61" t="n"/>
    </row>
    <row r="1023" ht="14.25" customHeight="1" s="86">
      <c r="E1023" s="53" t="inlineStr">
        <is>
          <t>KY</t>
        </is>
      </c>
      <c r="F1023" s="53" t="inlineStr">
        <is>
          <t>CLAY</t>
        </is>
      </c>
      <c r="G1023" s="59" t="n"/>
      <c r="N1023" s="59" t="n"/>
      <c r="O1023" s="59" t="n"/>
      <c r="X1023" s="61" t="n"/>
      <c r="Y1023" s="61" t="n"/>
    </row>
    <row r="1024" ht="14.25" customHeight="1" s="86">
      <c r="E1024" s="53" t="inlineStr">
        <is>
          <t>KY</t>
        </is>
      </c>
      <c r="F1024" s="53" t="inlineStr">
        <is>
          <t>CLINTON</t>
        </is>
      </c>
      <c r="G1024" s="59" t="n"/>
      <c r="N1024" s="59" t="n"/>
      <c r="O1024" s="59" t="n"/>
      <c r="X1024" s="61" t="n"/>
      <c r="Y1024" s="61" t="n"/>
    </row>
    <row r="1025" ht="14.25" customHeight="1" s="86">
      <c r="E1025" s="53" t="inlineStr">
        <is>
          <t>KY</t>
        </is>
      </c>
      <c r="F1025" s="53" t="inlineStr">
        <is>
          <t>CRITTENDEN</t>
        </is>
      </c>
      <c r="G1025" s="59" t="n"/>
      <c r="N1025" s="59" t="n"/>
      <c r="O1025" s="59" t="n"/>
      <c r="X1025" s="61" t="n"/>
      <c r="Y1025" s="61" t="n"/>
    </row>
    <row r="1026" ht="14.25" customHeight="1" s="86">
      <c r="E1026" s="53" t="inlineStr">
        <is>
          <t>KY</t>
        </is>
      </c>
      <c r="F1026" s="53" t="inlineStr">
        <is>
          <t>CUMBERLAND</t>
        </is>
      </c>
      <c r="G1026" s="59" t="n"/>
      <c r="N1026" s="59" t="n"/>
      <c r="O1026" s="59" t="n"/>
      <c r="X1026" s="61" t="n"/>
      <c r="Y1026" s="61" t="n"/>
    </row>
    <row r="1027" ht="14.25" customHeight="1" s="86">
      <c r="E1027" s="53" t="inlineStr">
        <is>
          <t>KY</t>
        </is>
      </c>
      <c r="F1027" s="53" t="inlineStr">
        <is>
          <t>DAVIESS</t>
        </is>
      </c>
      <c r="G1027" s="59" t="n"/>
      <c r="N1027" s="59" t="n"/>
      <c r="O1027" s="59" t="n"/>
      <c r="X1027" s="61" t="n"/>
      <c r="Y1027" s="61" t="n"/>
    </row>
    <row r="1028" ht="14.25" customHeight="1" s="86">
      <c r="E1028" s="53" t="inlineStr">
        <is>
          <t>KY</t>
        </is>
      </c>
      <c r="F1028" s="53" t="inlineStr">
        <is>
          <t>EDMONSON</t>
        </is>
      </c>
      <c r="G1028" s="59" t="n"/>
      <c r="N1028" s="59" t="n"/>
      <c r="O1028" s="59" t="n"/>
      <c r="X1028" s="61" t="n"/>
      <c r="Y1028" s="61" t="n"/>
    </row>
    <row r="1029" ht="14.25" customHeight="1" s="86">
      <c r="E1029" s="53" t="inlineStr">
        <is>
          <t>KY</t>
        </is>
      </c>
      <c r="F1029" s="53" t="inlineStr">
        <is>
          <t>ELLIOTT</t>
        </is>
      </c>
      <c r="G1029" s="59" t="n"/>
      <c r="N1029" s="59" t="n"/>
      <c r="O1029" s="59" t="n"/>
      <c r="X1029" s="61" t="n"/>
      <c r="Y1029" s="61" t="n"/>
    </row>
    <row r="1030" ht="14.25" customHeight="1" s="86">
      <c r="E1030" s="53" t="inlineStr">
        <is>
          <t>KY</t>
        </is>
      </c>
      <c r="F1030" s="53" t="inlineStr">
        <is>
          <t>ESTILL</t>
        </is>
      </c>
      <c r="G1030" s="59" t="n"/>
      <c r="N1030" s="59" t="n"/>
      <c r="O1030" s="59" t="n"/>
      <c r="X1030" s="61" t="n"/>
      <c r="Y1030" s="61" t="n"/>
    </row>
    <row r="1031" ht="14.25" customHeight="1" s="86">
      <c r="E1031" s="53" t="inlineStr">
        <is>
          <t>KY</t>
        </is>
      </c>
      <c r="F1031" s="53" t="inlineStr">
        <is>
          <t>FAYETTE</t>
        </is>
      </c>
      <c r="G1031" s="59" t="n"/>
      <c r="N1031" s="59" t="n"/>
      <c r="O1031" s="59" t="n"/>
      <c r="X1031" s="61" t="n"/>
      <c r="Y1031" s="61" t="n"/>
    </row>
    <row r="1032" ht="14.25" customHeight="1" s="86">
      <c r="E1032" s="53" t="inlineStr">
        <is>
          <t>KY</t>
        </is>
      </c>
      <c r="F1032" s="53" t="inlineStr">
        <is>
          <t>FLEMING</t>
        </is>
      </c>
      <c r="G1032" s="59" t="n"/>
      <c r="N1032" s="59" t="n"/>
      <c r="O1032" s="59" t="n"/>
      <c r="X1032" s="61" t="n"/>
      <c r="Y1032" s="61" t="n"/>
    </row>
    <row r="1033" ht="14.25" customHeight="1" s="86">
      <c r="E1033" s="53" t="inlineStr">
        <is>
          <t>KY</t>
        </is>
      </c>
      <c r="F1033" s="53" t="inlineStr">
        <is>
          <t>FLOYD</t>
        </is>
      </c>
      <c r="G1033" s="59" t="n"/>
      <c r="N1033" s="59" t="n"/>
      <c r="O1033" s="59" t="n"/>
      <c r="X1033" s="61" t="n"/>
      <c r="Y1033" s="61" t="n"/>
    </row>
    <row r="1034" ht="14.25" customHeight="1" s="86">
      <c r="E1034" s="53" t="inlineStr">
        <is>
          <t>KY</t>
        </is>
      </c>
      <c r="F1034" s="53" t="inlineStr">
        <is>
          <t>FRANKLIN</t>
        </is>
      </c>
      <c r="G1034" s="59" t="n"/>
      <c r="N1034" s="59" t="n"/>
      <c r="O1034" s="59" t="n"/>
      <c r="X1034" s="61" t="n"/>
      <c r="Y1034" s="61" t="n"/>
    </row>
    <row r="1035" ht="14.25" customHeight="1" s="86">
      <c r="E1035" s="53" t="inlineStr">
        <is>
          <t>KY</t>
        </is>
      </c>
      <c r="F1035" s="53" t="inlineStr">
        <is>
          <t>FULTON</t>
        </is>
      </c>
      <c r="G1035" s="59" t="n"/>
      <c r="N1035" s="59" t="n"/>
      <c r="O1035" s="59" t="n"/>
      <c r="X1035" s="61" t="n"/>
      <c r="Y1035" s="61" t="n"/>
    </row>
    <row r="1036" ht="14.25" customHeight="1" s="86">
      <c r="E1036" s="53" t="inlineStr">
        <is>
          <t>KY</t>
        </is>
      </c>
      <c r="F1036" s="53" t="inlineStr">
        <is>
          <t>GALLATIN</t>
        </is>
      </c>
      <c r="G1036" s="59" t="n"/>
      <c r="N1036" s="59" t="n"/>
      <c r="O1036" s="59" t="n"/>
      <c r="X1036" s="61" t="n"/>
      <c r="Y1036" s="61" t="n"/>
    </row>
    <row r="1037" ht="14.25" customHeight="1" s="86">
      <c r="E1037" s="53" t="inlineStr">
        <is>
          <t>KY</t>
        </is>
      </c>
      <c r="F1037" s="53" t="inlineStr">
        <is>
          <t>GARRARD</t>
        </is>
      </c>
      <c r="G1037" s="59" t="n"/>
      <c r="N1037" s="59" t="n"/>
      <c r="O1037" s="59" t="n"/>
      <c r="X1037" s="61" t="n"/>
      <c r="Y1037" s="61" t="n"/>
    </row>
    <row r="1038" ht="14.25" customHeight="1" s="86">
      <c r="E1038" s="53" t="inlineStr">
        <is>
          <t>KY</t>
        </is>
      </c>
      <c r="F1038" s="53" t="inlineStr">
        <is>
          <t>GRANT</t>
        </is>
      </c>
      <c r="G1038" s="59" t="n"/>
      <c r="N1038" s="59" t="n"/>
      <c r="O1038" s="59" t="n"/>
      <c r="X1038" s="61" t="n"/>
      <c r="Y1038" s="61" t="n"/>
    </row>
    <row r="1039" ht="14.25" customHeight="1" s="86">
      <c r="E1039" s="53" t="inlineStr">
        <is>
          <t>KY</t>
        </is>
      </c>
      <c r="F1039" s="53" t="inlineStr">
        <is>
          <t>GRAVES</t>
        </is>
      </c>
      <c r="G1039" s="59" t="n"/>
      <c r="N1039" s="59" t="n"/>
      <c r="O1039" s="59" t="n"/>
      <c r="X1039" s="61" t="n"/>
      <c r="Y1039" s="61" t="n"/>
    </row>
    <row r="1040" ht="14.25" customHeight="1" s="86">
      <c r="E1040" s="53" t="inlineStr">
        <is>
          <t>KY</t>
        </is>
      </c>
      <c r="F1040" s="53" t="inlineStr">
        <is>
          <t>GRAYSON</t>
        </is>
      </c>
      <c r="G1040" s="59" t="n"/>
      <c r="N1040" s="59" t="n"/>
      <c r="O1040" s="59" t="n"/>
      <c r="X1040" s="61" t="n"/>
      <c r="Y1040" s="61" t="n"/>
    </row>
    <row r="1041" ht="14.25" customHeight="1" s="86">
      <c r="E1041" s="53" t="inlineStr">
        <is>
          <t>KY</t>
        </is>
      </c>
      <c r="F1041" s="53" t="inlineStr">
        <is>
          <t>GREEN</t>
        </is>
      </c>
      <c r="G1041" s="59" t="n"/>
      <c r="N1041" s="59" t="n"/>
      <c r="O1041" s="59" t="n"/>
      <c r="X1041" s="61" t="n"/>
      <c r="Y1041" s="61" t="n"/>
    </row>
    <row r="1042" ht="14.25" customHeight="1" s="86">
      <c r="E1042" s="53" t="inlineStr">
        <is>
          <t>KY</t>
        </is>
      </c>
      <c r="F1042" s="53" t="inlineStr">
        <is>
          <t>GREENUP</t>
        </is>
      </c>
      <c r="G1042" s="59" t="n"/>
      <c r="N1042" s="59" t="n"/>
      <c r="O1042" s="59" t="n"/>
      <c r="X1042" s="61" t="n"/>
      <c r="Y1042" s="61" t="n"/>
    </row>
    <row r="1043" ht="14.25" customHeight="1" s="86">
      <c r="E1043" s="53" t="inlineStr">
        <is>
          <t>KY</t>
        </is>
      </c>
      <c r="F1043" s="53" t="inlineStr">
        <is>
          <t>HANCOCK</t>
        </is>
      </c>
      <c r="G1043" s="59" t="n"/>
      <c r="N1043" s="59" t="n"/>
      <c r="O1043" s="59" t="n"/>
      <c r="X1043" s="61" t="n"/>
      <c r="Y1043" s="61" t="n"/>
    </row>
    <row r="1044" ht="14.25" customHeight="1" s="86">
      <c r="E1044" s="53" t="inlineStr">
        <is>
          <t>KY</t>
        </is>
      </c>
      <c r="F1044" s="53" t="inlineStr">
        <is>
          <t>HARDIN</t>
        </is>
      </c>
      <c r="G1044" s="59" t="n"/>
      <c r="N1044" s="59" t="n"/>
      <c r="O1044" s="59" t="n"/>
      <c r="X1044" s="61" t="n"/>
      <c r="Y1044" s="61" t="n"/>
    </row>
    <row r="1045" ht="14.25" customHeight="1" s="86">
      <c r="E1045" s="53" t="inlineStr">
        <is>
          <t>KY</t>
        </is>
      </c>
      <c r="F1045" s="53" t="inlineStr">
        <is>
          <t>HARLAN</t>
        </is>
      </c>
      <c r="G1045" s="59" t="n"/>
      <c r="N1045" s="59" t="n"/>
      <c r="O1045" s="59" t="n"/>
      <c r="X1045" s="61" t="n"/>
      <c r="Y1045" s="61" t="n"/>
    </row>
    <row r="1046" ht="14.25" customHeight="1" s="86">
      <c r="E1046" s="53" t="inlineStr">
        <is>
          <t>KY</t>
        </is>
      </c>
      <c r="F1046" s="53" t="inlineStr">
        <is>
          <t>HARRISON</t>
        </is>
      </c>
      <c r="G1046" s="59" t="n"/>
      <c r="N1046" s="59" t="n"/>
      <c r="O1046" s="59" t="n"/>
      <c r="X1046" s="61" t="n"/>
      <c r="Y1046" s="61" t="n"/>
    </row>
    <row r="1047" ht="14.25" customHeight="1" s="86">
      <c r="E1047" s="53" t="inlineStr">
        <is>
          <t>KY</t>
        </is>
      </c>
      <c r="F1047" s="53" t="inlineStr">
        <is>
          <t>HART</t>
        </is>
      </c>
      <c r="G1047" s="59" t="n"/>
      <c r="N1047" s="59" t="n"/>
      <c r="O1047" s="59" t="n"/>
      <c r="X1047" s="61" t="n"/>
      <c r="Y1047" s="61" t="n"/>
    </row>
    <row r="1048" ht="14.25" customHeight="1" s="86">
      <c r="E1048" s="53" t="inlineStr">
        <is>
          <t>KY</t>
        </is>
      </c>
      <c r="F1048" s="53" t="inlineStr">
        <is>
          <t>HENDERSON</t>
        </is>
      </c>
      <c r="G1048" s="59" t="n"/>
      <c r="N1048" s="59" t="n"/>
      <c r="O1048" s="59" t="n"/>
      <c r="X1048" s="61" t="n"/>
      <c r="Y1048" s="61" t="n"/>
    </row>
    <row r="1049" ht="14.25" customHeight="1" s="86">
      <c r="E1049" s="53" t="inlineStr">
        <is>
          <t>KY</t>
        </is>
      </c>
      <c r="F1049" s="53" t="inlineStr">
        <is>
          <t>HENRY</t>
        </is>
      </c>
      <c r="G1049" s="59" t="n"/>
      <c r="N1049" s="59" t="n"/>
      <c r="O1049" s="59" t="n"/>
      <c r="X1049" s="61" t="n"/>
      <c r="Y1049" s="61" t="n"/>
    </row>
    <row r="1050" ht="14.25" customHeight="1" s="86">
      <c r="E1050" s="53" t="inlineStr">
        <is>
          <t>KY</t>
        </is>
      </c>
      <c r="F1050" s="53" t="inlineStr">
        <is>
          <t>HICKMAN</t>
        </is>
      </c>
      <c r="G1050" s="59" t="n"/>
      <c r="N1050" s="59" t="n"/>
      <c r="O1050" s="59" t="n"/>
      <c r="X1050" s="61" t="n"/>
      <c r="Y1050" s="61" t="n"/>
    </row>
    <row r="1051" ht="14.25" customHeight="1" s="86">
      <c r="E1051" s="53" t="inlineStr">
        <is>
          <t>KY</t>
        </is>
      </c>
      <c r="F1051" s="53" t="inlineStr">
        <is>
          <t>HOPKINS</t>
        </is>
      </c>
      <c r="G1051" s="59" t="n"/>
      <c r="N1051" s="59" t="n"/>
      <c r="O1051" s="59" t="n"/>
      <c r="X1051" s="61" t="n"/>
      <c r="Y1051" s="61" t="n"/>
    </row>
    <row r="1052" ht="14.25" customHeight="1" s="86">
      <c r="E1052" s="53" t="inlineStr">
        <is>
          <t>KY</t>
        </is>
      </c>
      <c r="F1052" s="53" t="inlineStr">
        <is>
          <t>JACKSON</t>
        </is>
      </c>
      <c r="G1052" s="59" t="n"/>
      <c r="N1052" s="59" t="n"/>
      <c r="O1052" s="59" t="n"/>
      <c r="X1052" s="61" t="n"/>
      <c r="Y1052" s="61" t="n"/>
    </row>
    <row r="1053" ht="14.25" customHeight="1" s="86">
      <c r="E1053" s="53" t="inlineStr">
        <is>
          <t>KY</t>
        </is>
      </c>
      <c r="F1053" s="53" t="inlineStr">
        <is>
          <t>JEFFERSON</t>
        </is>
      </c>
      <c r="G1053" s="59" t="n"/>
      <c r="N1053" s="59" t="n"/>
      <c r="O1053" s="59" t="n"/>
      <c r="X1053" s="61" t="n"/>
      <c r="Y1053" s="61" t="n"/>
    </row>
    <row r="1054" ht="14.25" customHeight="1" s="86">
      <c r="E1054" s="53" t="inlineStr">
        <is>
          <t>KY</t>
        </is>
      </c>
      <c r="F1054" s="53" t="inlineStr">
        <is>
          <t>JESSAMINE</t>
        </is>
      </c>
      <c r="G1054" s="59" t="n"/>
      <c r="N1054" s="59" t="n"/>
      <c r="O1054" s="59" t="n"/>
      <c r="X1054" s="61" t="n"/>
      <c r="Y1054" s="61" t="n"/>
    </row>
    <row r="1055" ht="14.25" customHeight="1" s="86">
      <c r="E1055" s="53" t="inlineStr">
        <is>
          <t>KY</t>
        </is>
      </c>
      <c r="F1055" s="53" t="inlineStr">
        <is>
          <t>JOHNSON</t>
        </is>
      </c>
      <c r="G1055" s="59" t="n"/>
      <c r="N1055" s="59" t="n"/>
      <c r="O1055" s="59" t="n"/>
      <c r="X1055" s="61" t="n"/>
      <c r="Y1055" s="61" t="n"/>
    </row>
    <row r="1056" ht="14.25" customHeight="1" s="86">
      <c r="E1056" s="53" t="inlineStr">
        <is>
          <t>KY</t>
        </is>
      </c>
      <c r="F1056" s="53" t="inlineStr">
        <is>
          <t>KENTON</t>
        </is>
      </c>
      <c r="G1056" s="59" t="n"/>
      <c r="N1056" s="59" t="n"/>
      <c r="O1056" s="59" t="n"/>
      <c r="X1056" s="61" t="n"/>
      <c r="Y1056" s="61" t="n"/>
    </row>
    <row r="1057" ht="14.25" customHeight="1" s="86">
      <c r="E1057" s="53" t="inlineStr">
        <is>
          <t>KY</t>
        </is>
      </c>
      <c r="F1057" s="53" t="inlineStr">
        <is>
          <t>KNOTT</t>
        </is>
      </c>
      <c r="G1057" s="59" t="n"/>
      <c r="N1057" s="59" t="n"/>
      <c r="O1057" s="59" t="n"/>
      <c r="X1057" s="61" t="n"/>
      <c r="Y1057" s="61" t="n"/>
    </row>
    <row r="1058" ht="14.25" customHeight="1" s="86">
      <c r="E1058" s="53" t="inlineStr">
        <is>
          <t>KY</t>
        </is>
      </c>
      <c r="F1058" s="53" t="inlineStr">
        <is>
          <t>KNOX</t>
        </is>
      </c>
      <c r="G1058" s="59" t="n"/>
      <c r="N1058" s="59" t="n"/>
      <c r="O1058" s="59" t="n"/>
      <c r="X1058" s="61" t="n"/>
      <c r="Y1058" s="61" t="n"/>
    </row>
    <row r="1059" ht="14.25" customHeight="1" s="86">
      <c r="E1059" s="53" t="inlineStr">
        <is>
          <t>KY</t>
        </is>
      </c>
      <c r="F1059" s="53" t="inlineStr">
        <is>
          <t>LARUE</t>
        </is>
      </c>
      <c r="G1059" s="59" t="n"/>
      <c r="N1059" s="59" t="n"/>
      <c r="O1059" s="59" t="n"/>
      <c r="X1059" s="61" t="n"/>
      <c r="Y1059" s="61" t="n"/>
    </row>
    <row r="1060" ht="14.25" customHeight="1" s="86">
      <c r="E1060" s="53" t="inlineStr">
        <is>
          <t>KY</t>
        </is>
      </c>
      <c r="F1060" s="53" t="inlineStr">
        <is>
          <t>LAUREL</t>
        </is>
      </c>
      <c r="G1060" s="59" t="n"/>
      <c r="N1060" s="59" t="n"/>
      <c r="O1060" s="59" t="n"/>
      <c r="X1060" s="61" t="n"/>
      <c r="Y1060" s="61" t="n"/>
    </row>
    <row r="1061" ht="14.25" customHeight="1" s="86">
      <c r="E1061" s="53" t="inlineStr">
        <is>
          <t>KY</t>
        </is>
      </c>
      <c r="F1061" s="53" t="inlineStr">
        <is>
          <t>LAWRENCE</t>
        </is>
      </c>
      <c r="G1061" s="59" t="n"/>
      <c r="N1061" s="59" t="n"/>
      <c r="O1061" s="59" t="n"/>
      <c r="X1061" s="61" t="n"/>
      <c r="Y1061" s="61" t="n"/>
    </row>
    <row r="1062" ht="14.25" customHeight="1" s="86">
      <c r="E1062" s="53" t="inlineStr">
        <is>
          <t>KY</t>
        </is>
      </c>
      <c r="F1062" s="53" t="inlineStr">
        <is>
          <t>LEE</t>
        </is>
      </c>
      <c r="G1062" s="59" t="n"/>
      <c r="N1062" s="59" t="n"/>
      <c r="O1062" s="59" t="n"/>
      <c r="X1062" s="61" t="n"/>
      <c r="Y1062" s="61" t="n"/>
    </row>
    <row r="1063" ht="14.25" customHeight="1" s="86">
      <c r="E1063" s="53" t="inlineStr">
        <is>
          <t>KY</t>
        </is>
      </c>
      <c r="F1063" s="53" t="inlineStr">
        <is>
          <t>LESLIE</t>
        </is>
      </c>
      <c r="G1063" s="59" t="n"/>
      <c r="N1063" s="59" t="n"/>
      <c r="O1063" s="59" t="n"/>
      <c r="X1063" s="61" t="n"/>
      <c r="Y1063" s="61" t="n"/>
    </row>
    <row r="1064" ht="14.25" customHeight="1" s="86">
      <c r="E1064" s="53" t="inlineStr">
        <is>
          <t>KY</t>
        </is>
      </c>
      <c r="F1064" s="53" t="inlineStr">
        <is>
          <t>LETCHER</t>
        </is>
      </c>
      <c r="G1064" s="59" t="n"/>
      <c r="N1064" s="59" t="n"/>
      <c r="O1064" s="59" t="n"/>
      <c r="X1064" s="61" t="n"/>
      <c r="Y1064" s="61" t="n"/>
    </row>
    <row r="1065" ht="14.25" customHeight="1" s="86">
      <c r="E1065" s="53" t="inlineStr">
        <is>
          <t>KY</t>
        </is>
      </c>
      <c r="F1065" s="53" t="inlineStr">
        <is>
          <t>LEWIS</t>
        </is>
      </c>
      <c r="G1065" s="59" t="n"/>
      <c r="N1065" s="59" t="n"/>
      <c r="O1065" s="59" t="n"/>
      <c r="X1065" s="61" t="n"/>
      <c r="Y1065" s="61" t="n"/>
    </row>
    <row r="1066" ht="14.25" customHeight="1" s="86">
      <c r="E1066" s="53" t="inlineStr">
        <is>
          <t>KY</t>
        </is>
      </c>
      <c r="F1066" s="53" t="inlineStr">
        <is>
          <t>LINCOLN</t>
        </is>
      </c>
      <c r="G1066" s="59" t="n"/>
      <c r="N1066" s="59" t="n"/>
      <c r="O1066" s="59" t="n"/>
      <c r="X1066" s="61" t="n"/>
      <c r="Y1066" s="61" t="n"/>
    </row>
    <row r="1067" ht="14.25" customHeight="1" s="86">
      <c r="E1067" s="53" t="inlineStr">
        <is>
          <t>KY</t>
        </is>
      </c>
      <c r="F1067" s="53" t="inlineStr">
        <is>
          <t>LIVINGSTON</t>
        </is>
      </c>
      <c r="G1067" s="59" t="n"/>
      <c r="N1067" s="59" t="n"/>
      <c r="O1067" s="59" t="n"/>
      <c r="X1067" s="61" t="n"/>
      <c r="Y1067" s="61" t="n"/>
    </row>
    <row r="1068" ht="14.25" customHeight="1" s="86">
      <c r="E1068" s="53" t="inlineStr">
        <is>
          <t>KY</t>
        </is>
      </c>
      <c r="F1068" s="53" t="inlineStr">
        <is>
          <t>LOGAN</t>
        </is>
      </c>
      <c r="G1068" s="59" t="n"/>
      <c r="N1068" s="59" t="n"/>
      <c r="O1068" s="59" t="n"/>
      <c r="X1068" s="61" t="n"/>
      <c r="Y1068" s="61" t="n"/>
    </row>
    <row r="1069" ht="14.25" customHeight="1" s="86">
      <c r="E1069" s="53" t="inlineStr">
        <is>
          <t>KY</t>
        </is>
      </c>
      <c r="F1069" s="53" t="inlineStr">
        <is>
          <t>LYON</t>
        </is>
      </c>
      <c r="G1069" s="59" t="n"/>
      <c r="N1069" s="59" t="n"/>
      <c r="O1069" s="59" t="n"/>
      <c r="X1069" s="61" t="n"/>
      <c r="Y1069" s="61" t="n"/>
    </row>
    <row r="1070" ht="14.25" customHeight="1" s="86">
      <c r="E1070" s="53" t="inlineStr">
        <is>
          <t>KY</t>
        </is>
      </c>
      <c r="F1070" s="53" t="inlineStr">
        <is>
          <t>MADISON</t>
        </is>
      </c>
      <c r="G1070" s="59" t="n"/>
      <c r="N1070" s="59" t="n"/>
      <c r="O1070" s="59" t="n"/>
      <c r="X1070" s="61" t="n"/>
      <c r="Y1070" s="61" t="n"/>
    </row>
    <row r="1071" ht="14.25" customHeight="1" s="86">
      <c r="E1071" s="53" t="inlineStr">
        <is>
          <t>KY</t>
        </is>
      </c>
      <c r="F1071" s="53" t="inlineStr">
        <is>
          <t>MAGOFFIN</t>
        </is>
      </c>
      <c r="G1071" s="59" t="n"/>
      <c r="N1071" s="59" t="n"/>
      <c r="O1071" s="59" t="n"/>
      <c r="X1071" s="61" t="n"/>
      <c r="Y1071" s="61" t="n"/>
    </row>
    <row r="1072" ht="14.25" customHeight="1" s="86">
      <c r="E1072" s="53" t="inlineStr">
        <is>
          <t>KY</t>
        </is>
      </c>
      <c r="F1072" s="53" t="inlineStr">
        <is>
          <t>MARION</t>
        </is>
      </c>
      <c r="G1072" s="59" t="n"/>
      <c r="N1072" s="59" t="n"/>
      <c r="O1072" s="59" t="n"/>
      <c r="X1072" s="61" t="n"/>
      <c r="Y1072" s="61" t="n"/>
    </row>
    <row r="1073" ht="14.25" customHeight="1" s="86">
      <c r="E1073" s="53" t="inlineStr">
        <is>
          <t>KY</t>
        </is>
      </c>
      <c r="F1073" s="53" t="inlineStr">
        <is>
          <t>MARSHALL</t>
        </is>
      </c>
      <c r="G1073" s="59" t="n"/>
      <c r="N1073" s="59" t="n"/>
      <c r="O1073" s="59" t="n"/>
      <c r="X1073" s="61" t="n"/>
      <c r="Y1073" s="61" t="n"/>
    </row>
    <row r="1074" ht="14.25" customHeight="1" s="86">
      <c r="E1074" s="53" t="inlineStr">
        <is>
          <t>KY</t>
        </is>
      </c>
      <c r="F1074" s="53" t="inlineStr">
        <is>
          <t>MARTIN</t>
        </is>
      </c>
      <c r="G1074" s="59" t="n"/>
      <c r="N1074" s="59" t="n"/>
      <c r="O1074" s="59" t="n"/>
      <c r="X1074" s="61" t="n"/>
      <c r="Y1074" s="61" t="n"/>
    </row>
    <row r="1075" ht="14.25" customHeight="1" s="86">
      <c r="E1075" s="53" t="inlineStr">
        <is>
          <t>KY</t>
        </is>
      </c>
      <c r="F1075" s="53" t="inlineStr">
        <is>
          <t>MASON</t>
        </is>
      </c>
      <c r="G1075" s="59" t="n"/>
      <c r="N1075" s="59" t="n"/>
      <c r="O1075" s="59" t="n"/>
      <c r="X1075" s="61" t="n"/>
      <c r="Y1075" s="61" t="n"/>
    </row>
    <row r="1076" ht="14.25" customHeight="1" s="86">
      <c r="E1076" s="53" t="inlineStr">
        <is>
          <t>KY</t>
        </is>
      </c>
      <c r="F1076" s="53" t="inlineStr">
        <is>
          <t>MCCRACKEN</t>
        </is>
      </c>
      <c r="G1076" s="59" t="n"/>
      <c r="N1076" s="59" t="n"/>
      <c r="O1076" s="59" t="n"/>
      <c r="X1076" s="61" t="n"/>
      <c r="Y1076" s="61" t="n"/>
    </row>
    <row r="1077" ht="14.25" customHeight="1" s="86">
      <c r="E1077" s="53" t="inlineStr">
        <is>
          <t>KY</t>
        </is>
      </c>
      <c r="F1077" s="53" t="inlineStr">
        <is>
          <t>MCCREARY</t>
        </is>
      </c>
      <c r="G1077" s="59" t="n"/>
      <c r="N1077" s="59" t="n"/>
      <c r="O1077" s="59" t="n"/>
      <c r="X1077" s="61" t="n"/>
      <c r="Y1077" s="61" t="n"/>
    </row>
    <row r="1078" ht="14.25" customHeight="1" s="86">
      <c r="E1078" s="53" t="inlineStr">
        <is>
          <t>KY</t>
        </is>
      </c>
      <c r="F1078" s="53" t="inlineStr">
        <is>
          <t>MCLEAN</t>
        </is>
      </c>
      <c r="G1078" s="59" t="n"/>
      <c r="N1078" s="59" t="n"/>
      <c r="O1078" s="59" t="n"/>
      <c r="X1078" s="61" t="n"/>
      <c r="Y1078" s="61" t="n"/>
    </row>
    <row r="1079" ht="14.25" customHeight="1" s="86">
      <c r="E1079" s="53" t="inlineStr">
        <is>
          <t>KY</t>
        </is>
      </c>
      <c r="F1079" s="53" t="inlineStr">
        <is>
          <t>MEADE</t>
        </is>
      </c>
      <c r="G1079" s="59" t="n"/>
      <c r="N1079" s="59" t="n"/>
      <c r="O1079" s="59" t="n"/>
      <c r="X1079" s="61" t="n"/>
      <c r="Y1079" s="61" t="n"/>
    </row>
    <row r="1080" ht="14.25" customHeight="1" s="86">
      <c r="E1080" s="53" t="inlineStr">
        <is>
          <t>KY</t>
        </is>
      </c>
      <c r="F1080" s="53" t="inlineStr">
        <is>
          <t>MENIFEE</t>
        </is>
      </c>
      <c r="G1080" s="59" t="n"/>
      <c r="N1080" s="59" t="n"/>
      <c r="O1080" s="59" t="n"/>
      <c r="X1080" s="61" t="n"/>
      <c r="Y1080" s="61" t="n"/>
    </row>
    <row r="1081" ht="14.25" customHeight="1" s="86">
      <c r="E1081" s="53" t="inlineStr">
        <is>
          <t>KY</t>
        </is>
      </c>
      <c r="F1081" s="53" t="inlineStr">
        <is>
          <t>MERCER</t>
        </is>
      </c>
      <c r="G1081" s="59" t="n"/>
      <c r="N1081" s="59" t="n"/>
      <c r="O1081" s="59" t="n"/>
      <c r="X1081" s="61" t="n"/>
      <c r="Y1081" s="61" t="n"/>
    </row>
    <row r="1082" ht="14.25" customHeight="1" s="86">
      <c r="E1082" s="53" t="inlineStr">
        <is>
          <t>KY</t>
        </is>
      </c>
      <c r="F1082" s="53" t="inlineStr">
        <is>
          <t>METCALFE</t>
        </is>
      </c>
      <c r="G1082" s="59" t="n"/>
      <c r="N1082" s="59" t="n"/>
      <c r="O1082" s="59" t="n"/>
      <c r="X1082" s="61" t="n"/>
      <c r="Y1082" s="61" t="n"/>
    </row>
    <row r="1083" ht="14.25" customHeight="1" s="86">
      <c r="E1083" s="53" t="inlineStr">
        <is>
          <t>KY</t>
        </is>
      </c>
      <c r="F1083" s="53" t="inlineStr">
        <is>
          <t>MONROE</t>
        </is>
      </c>
      <c r="G1083" s="59" t="n"/>
      <c r="N1083" s="59" t="n"/>
      <c r="O1083" s="59" t="n"/>
      <c r="X1083" s="61" t="n"/>
      <c r="Y1083" s="61" t="n"/>
    </row>
    <row r="1084" ht="14.25" customHeight="1" s="86">
      <c r="E1084" s="53" t="inlineStr">
        <is>
          <t>KY</t>
        </is>
      </c>
      <c r="F1084" s="53" t="inlineStr">
        <is>
          <t>MONTGOMERY</t>
        </is>
      </c>
      <c r="G1084" s="59" t="n"/>
      <c r="N1084" s="59" t="n"/>
      <c r="O1084" s="59" t="n"/>
      <c r="X1084" s="61" t="n"/>
      <c r="Y1084" s="61" t="n"/>
    </row>
    <row r="1085" ht="14.25" customHeight="1" s="86">
      <c r="E1085" s="53" t="inlineStr">
        <is>
          <t>KY</t>
        </is>
      </c>
      <c r="F1085" s="53" t="inlineStr">
        <is>
          <t>MORGAN</t>
        </is>
      </c>
      <c r="G1085" s="59" t="n"/>
      <c r="N1085" s="59" t="n"/>
      <c r="O1085" s="59" t="n"/>
      <c r="X1085" s="61" t="n"/>
      <c r="Y1085" s="61" t="n"/>
    </row>
    <row r="1086" ht="14.25" customHeight="1" s="86">
      <c r="E1086" s="53" t="inlineStr">
        <is>
          <t>KY</t>
        </is>
      </c>
      <c r="F1086" s="53" t="inlineStr">
        <is>
          <t>MUHLENBERG</t>
        </is>
      </c>
      <c r="G1086" s="59" t="n"/>
      <c r="N1086" s="59" t="n"/>
      <c r="O1086" s="59" t="n"/>
      <c r="X1086" s="61" t="n"/>
      <c r="Y1086" s="61" t="n"/>
    </row>
    <row r="1087" ht="14.25" customHeight="1" s="86">
      <c r="E1087" s="53" t="inlineStr">
        <is>
          <t>KY</t>
        </is>
      </c>
      <c r="F1087" s="53" t="inlineStr">
        <is>
          <t>NELSON</t>
        </is>
      </c>
      <c r="G1087" s="59" t="n"/>
      <c r="N1087" s="59" t="n"/>
      <c r="O1087" s="59" t="n"/>
      <c r="X1087" s="61" t="n"/>
      <c r="Y1087" s="61" t="n"/>
    </row>
    <row r="1088" ht="14.25" customHeight="1" s="86">
      <c r="E1088" s="53" t="inlineStr">
        <is>
          <t>KY</t>
        </is>
      </c>
      <c r="F1088" s="53" t="inlineStr">
        <is>
          <t>NICHOLAS</t>
        </is>
      </c>
      <c r="G1088" s="59" t="n"/>
      <c r="N1088" s="59" t="n"/>
      <c r="O1088" s="59" t="n"/>
      <c r="X1088" s="61" t="n"/>
      <c r="Y1088" s="61" t="n"/>
    </row>
    <row r="1089" ht="14.25" customHeight="1" s="86">
      <c r="E1089" s="53" t="inlineStr">
        <is>
          <t>KY</t>
        </is>
      </c>
      <c r="F1089" s="53" t="inlineStr">
        <is>
          <t>OHIO</t>
        </is>
      </c>
      <c r="G1089" s="59" t="n"/>
      <c r="N1089" s="59" t="n"/>
      <c r="O1089" s="59" t="n"/>
      <c r="X1089" s="61" t="n"/>
      <c r="Y1089" s="61" t="n"/>
    </row>
    <row r="1090" ht="14.25" customHeight="1" s="86">
      <c r="E1090" s="53" t="inlineStr">
        <is>
          <t>KY</t>
        </is>
      </c>
      <c r="F1090" s="53" t="inlineStr">
        <is>
          <t>OLDHAM</t>
        </is>
      </c>
      <c r="G1090" s="59" t="n"/>
      <c r="N1090" s="59" t="n"/>
      <c r="O1090" s="59" t="n"/>
      <c r="X1090" s="61" t="n"/>
      <c r="Y1090" s="61" t="n"/>
    </row>
    <row r="1091" ht="14.25" customHeight="1" s="86">
      <c r="E1091" s="53" t="inlineStr">
        <is>
          <t>KY</t>
        </is>
      </c>
      <c r="F1091" s="53" t="inlineStr">
        <is>
          <t>OWEN</t>
        </is>
      </c>
      <c r="G1091" s="59" t="n"/>
      <c r="N1091" s="59" t="n"/>
      <c r="O1091" s="59" t="n"/>
      <c r="X1091" s="61" t="n"/>
      <c r="Y1091" s="61" t="n"/>
    </row>
    <row r="1092" ht="14.25" customHeight="1" s="86">
      <c r="E1092" s="53" t="inlineStr">
        <is>
          <t>KY</t>
        </is>
      </c>
      <c r="F1092" s="53" t="inlineStr">
        <is>
          <t>OWSLEY</t>
        </is>
      </c>
      <c r="G1092" s="59" t="n"/>
      <c r="N1092" s="59" t="n"/>
      <c r="O1092" s="59" t="n"/>
      <c r="X1092" s="61" t="n"/>
      <c r="Y1092" s="61" t="n"/>
    </row>
    <row r="1093" ht="14.25" customHeight="1" s="86">
      <c r="E1093" s="53" t="inlineStr">
        <is>
          <t>KY</t>
        </is>
      </c>
      <c r="F1093" s="53" t="inlineStr">
        <is>
          <t>PENDLETON</t>
        </is>
      </c>
      <c r="G1093" s="59" t="n"/>
      <c r="N1093" s="59" t="n"/>
      <c r="O1093" s="59" t="n"/>
      <c r="X1093" s="61" t="n"/>
      <c r="Y1093" s="61" t="n"/>
    </row>
    <row r="1094" ht="14.25" customHeight="1" s="86">
      <c r="E1094" s="53" t="inlineStr">
        <is>
          <t>KY</t>
        </is>
      </c>
      <c r="F1094" s="53" t="inlineStr">
        <is>
          <t>PERRY</t>
        </is>
      </c>
      <c r="G1094" s="59" t="n"/>
      <c r="N1094" s="59" t="n"/>
      <c r="O1094" s="59" t="n"/>
      <c r="X1094" s="61" t="n"/>
      <c r="Y1094" s="61" t="n"/>
    </row>
    <row r="1095" ht="14.25" customHeight="1" s="86">
      <c r="E1095" s="53" t="inlineStr">
        <is>
          <t>KY</t>
        </is>
      </c>
      <c r="F1095" s="53" t="inlineStr">
        <is>
          <t>PIKE</t>
        </is>
      </c>
      <c r="G1095" s="59" t="n"/>
      <c r="N1095" s="59" t="n"/>
      <c r="O1095" s="59" t="n"/>
      <c r="X1095" s="61" t="n"/>
      <c r="Y1095" s="61" t="n"/>
    </row>
    <row r="1096" ht="14.25" customHeight="1" s="86">
      <c r="E1096" s="53" t="inlineStr">
        <is>
          <t>KY</t>
        </is>
      </c>
      <c r="F1096" s="53" t="inlineStr">
        <is>
          <t>POWELL</t>
        </is>
      </c>
      <c r="G1096" s="59" t="n"/>
      <c r="N1096" s="59" t="n"/>
      <c r="O1096" s="59" t="n"/>
      <c r="X1096" s="61" t="n"/>
      <c r="Y1096" s="61" t="n"/>
    </row>
    <row r="1097" ht="14.25" customHeight="1" s="86">
      <c r="E1097" s="53" t="inlineStr">
        <is>
          <t>KY</t>
        </is>
      </c>
      <c r="F1097" s="53" t="inlineStr">
        <is>
          <t>PULASKI</t>
        </is>
      </c>
      <c r="G1097" s="59" t="n"/>
      <c r="N1097" s="59" t="n"/>
      <c r="O1097" s="59" t="n"/>
      <c r="X1097" s="61" t="n"/>
      <c r="Y1097" s="61" t="n"/>
    </row>
    <row r="1098" ht="14.25" customHeight="1" s="86">
      <c r="E1098" s="53" t="inlineStr">
        <is>
          <t>KY</t>
        </is>
      </c>
      <c r="F1098" s="53" t="inlineStr">
        <is>
          <t>ROBERTSON</t>
        </is>
      </c>
      <c r="G1098" s="59" t="n"/>
      <c r="N1098" s="59" t="n"/>
      <c r="O1098" s="59" t="n"/>
      <c r="X1098" s="61" t="n"/>
      <c r="Y1098" s="61" t="n"/>
    </row>
    <row r="1099" ht="14.25" customHeight="1" s="86">
      <c r="E1099" s="53" t="inlineStr">
        <is>
          <t>KY</t>
        </is>
      </c>
      <c r="F1099" s="53" t="inlineStr">
        <is>
          <t>ROCKCASTLE</t>
        </is>
      </c>
      <c r="G1099" s="59" t="n"/>
      <c r="N1099" s="59" t="n"/>
      <c r="O1099" s="59" t="n"/>
      <c r="X1099" s="61" t="n"/>
      <c r="Y1099" s="61" t="n"/>
    </row>
    <row r="1100" ht="14.25" customHeight="1" s="86">
      <c r="E1100" s="53" t="inlineStr">
        <is>
          <t>KY</t>
        </is>
      </c>
      <c r="F1100" s="53" t="inlineStr">
        <is>
          <t>ROWAN</t>
        </is>
      </c>
      <c r="G1100" s="59" t="n"/>
      <c r="N1100" s="59" t="n"/>
      <c r="O1100" s="59" t="n"/>
      <c r="X1100" s="61" t="n"/>
      <c r="Y1100" s="61" t="n"/>
    </row>
    <row r="1101" ht="14.25" customHeight="1" s="86">
      <c r="E1101" s="53" t="inlineStr">
        <is>
          <t>KY</t>
        </is>
      </c>
      <c r="F1101" s="53" t="inlineStr">
        <is>
          <t>RUSSELL</t>
        </is>
      </c>
      <c r="G1101" s="59" t="n"/>
      <c r="N1101" s="59" t="n"/>
      <c r="O1101" s="59" t="n"/>
      <c r="X1101" s="61" t="n"/>
      <c r="Y1101" s="61" t="n"/>
    </row>
    <row r="1102" ht="14.25" customHeight="1" s="86">
      <c r="E1102" s="53" t="inlineStr">
        <is>
          <t>KY</t>
        </is>
      </c>
      <c r="F1102" s="53" t="inlineStr">
        <is>
          <t>SCOTT</t>
        </is>
      </c>
      <c r="G1102" s="59" t="n"/>
      <c r="N1102" s="59" t="n"/>
      <c r="O1102" s="59" t="n"/>
      <c r="X1102" s="61" t="n"/>
      <c r="Y1102" s="61" t="n"/>
    </row>
    <row r="1103" ht="14.25" customHeight="1" s="86">
      <c r="E1103" s="53" t="inlineStr">
        <is>
          <t>KY</t>
        </is>
      </c>
      <c r="F1103" s="53" t="inlineStr">
        <is>
          <t>SHELBY</t>
        </is>
      </c>
      <c r="G1103" s="59" t="n"/>
      <c r="N1103" s="59" t="n"/>
      <c r="O1103" s="59" t="n"/>
      <c r="X1103" s="61" t="n"/>
      <c r="Y1103" s="61" t="n"/>
    </row>
    <row r="1104" ht="14.25" customHeight="1" s="86">
      <c r="E1104" s="53" t="inlineStr">
        <is>
          <t>KY</t>
        </is>
      </c>
      <c r="F1104" s="53" t="inlineStr">
        <is>
          <t>SIMPSON</t>
        </is>
      </c>
      <c r="G1104" s="59" t="n"/>
      <c r="N1104" s="59" t="n"/>
      <c r="O1104" s="59" t="n"/>
      <c r="X1104" s="61" t="n"/>
      <c r="Y1104" s="61" t="n"/>
    </row>
    <row r="1105" ht="14.25" customHeight="1" s="86">
      <c r="E1105" s="53" t="inlineStr">
        <is>
          <t>KY</t>
        </is>
      </c>
      <c r="F1105" s="53" t="inlineStr">
        <is>
          <t>SPENCER</t>
        </is>
      </c>
      <c r="G1105" s="59" t="n"/>
      <c r="N1105" s="59" t="n"/>
      <c r="O1105" s="59" t="n"/>
      <c r="X1105" s="61" t="n"/>
      <c r="Y1105" s="61" t="n"/>
    </row>
    <row r="1106" ht="14.25" customHeight="1" s="86">
      <c r="E1106" s="53" t="inlineStr">
        <is>
          <t>KY</t>
        </is>
      </c>
      <c r="F1106" s="53" t="inlineStr">
        <is>
          <t>TAYLOR</t>
        </is>
      </c>
      <c r="G1106" s="59" t="n"/>
      <c r="N1106" s="59" t="n"/>
      <c r="O1106" s="59" t="n"/>
      <c r="X1106" s="61" t="n"/>
      <c r="Y1106" s="61" t="n"/>
    </row>
    <row r="1107" ht="14.25" customHeight="1" s="86">
      <c r="E1107" s="53" t="inlineStr">
        <is>
          <t>KY</t>
        </is>
      </c>
      <c r="F1107" s="53" t="inlineStr">
        <is>
          <t>TODD</t>
        </is>
      </c>
      <c r="G1107" s="59" t="n"/>
      <c r="N1107" s="59" t="n"/>
      <c r="O1107" s="59" t="n"/>
      <c r="X1107" s="61" t="n"/>
      <c r="Y1107" s="61" t="n"/>
    </row>
    <row r="1108" ht="14.25" customHeight="1" s="86">
      <c r="E1108" s="53" t="inlineStr">
        <is>
          <t>KY</t>
        </is>
      </c>
      <c r="F1108" s="53" t="inlineStr">
        <is>
          <t>TRIGG</t>
        </is>
      </c>
      <c r="G1108" s="59" t="n"/>
      <c r="N1108" s="59" t="n"/>
      <c r="O1108" s="59" t="n"/>
      <c r="X1108" s="61" t="n"/>
      <c r="Y1108" s="61" t="n"/>
    </row>
    <row r="1109" ht="14.25" customHeight="1" s="86">
      <c r="E1109" s="53" t="inlineStr">
        <is>
          <t>KY</t>
        </is>
      </c>
      <c r="F1109" s="53" t="inlineStr">
        <is>
          <t>TRIMBLE</t>
        </is>
      </c>
      <c r="G1109" s="59" t="n"/>
      <c r="N1109" s="59" t="n"/>
      <c r="O1109" s="59" t="n"/>
      <c r="X1109" s="61" t="n"/>
      <c r="Y1109" s="61" t="n"/>
    </row>
    <row r="1110" ht="14.25" customHeight="1" s="86">
      <c r="E1110" s="53" t="inlineStr">
        <is>
          <t>KY</t>
        </is>
      </c>
      <c r="F1110" s="53" t="inlineStr">
        <is>
          <t>UNION</t>
        </is>
      </c>
      <c r="G1110" s="59" t="n"/>
      <c r="N1110" s="59" t="n"/>
      <c r="O1110" s="59" t="n"/>
      <c r="X1110" s="61" t="n"/>
      <c r="Y1110" s="61" t="n"/>
    </row>
    <row r="1111" ht="14.25" customHeight="1" s="86">
      <c r="E1111" s="53" t="inlineStr">
        <is>
          <t>KY</t>
        </is>
      </c>
      <c r="F1111" s="53" t="inlineStr">
        <is>
          <t>WARREN</t>
        </is>
      </c>
      <c r="G1111" s="59" t="n"/>
      <c r="N1111" s="59" t="n"/>
      <c r="O1111" s="59" t="n"/>
      <c r="X1111" s="61" t="n"/>
      <c r="Y1111" s="61" t="n"/>
    </row>
    <row r="1112" ht="14.25" customHeight="1" s="86">
      <c r="E1112" s="53" t="inlineStr">
        <is>
          <t>KY</t>
        </is>
      </c>
      <c r="F1112" s="53" t="inlineStr">
        <is>
          <t>WASHINGTON</t>
        </is>
      </c>
      <c r="G1112" s="59" t="n"/>
      <c r="N1112" s="59" t="n"/>
      <c r="O1112" s="59" t="n"/>
      <c r="X1112" s="61" t="n"/>
      <c r="Y1112" s="61" t="n"/>
    </row>
    <row r="1113" ht="14.25" customHeight="1" s="86">
      <c r="E1113" s="53" t="inlineStr">
        <is>
          <t>KY</t>
        </is>
      </c>
      <c r="F1113" s="53" t="inlineStr">
        <is>
          <t>WAYNE</t>
        </is>
      </c>
      <c r="G1113" s="59" t="n"/>
      <c r="N1113" s="59" t="n"/>
      <c r="O1113" s="59" t="n"/>
      <c r="X1113" s="61" t="n"/>
      <c r="Y1113" s="61" t="n"/>
    </row>
    <row r="1114" ht="14.25" customHeight="1" s="86">
      <c r="E1114" s="53" t="inlineStr">
        <is>
          <t>KY</t>
        </is>
      </c>
      <c r="F1114" s="53" t="inlineStr">
        <is>
          <t>WEBSTER</t>
        </is>
      </c>
      <c r="G1114" s="59" t="n"/>
      <c r="N1114" s="59" t="n"/>
      <c r="O1114" s="59" t="n"/>
      <c r="X1114" s="61" t="n"/>
      <c r="Y1114" s="61" t="n"/>
    </row>
    <row r="1115" ht="14.25" customHeight="1" s="86">
      <c r="E1115" s="53" t="inlineStr">
        <is>
          <t>KY</t>
        </is>
      </c>
      <c r="F1115" s="53" t="inlineStr">
        <is>
          <t>WHITLEY</t>
        </is>
      </c>
      <c r="G1115" s="59" t="n"/>
      <c r="N1115" s="59" t="n"/>
      <c r="O1115" s="59" t="n"/>
      <c r="X1115" s="61" t="n"/>
      <c r="Y1115" s="61" t="n"/>
    </row>
    <row r="1116" ht="14.25" customHeight="1" s="86">
      <c r="E1116" s="53" t="inlineStr">
        <is>
          <t>KY</t>
        </is>
      </c>
      <c r="F1116" s="53" t="inlineStr">
        <is>
          <t>WOLFE</t>
        </is>
      </c>
      <c r="G1116" s="59" t="n"/>
      <c r="N1116" s="59" t="n"/>
      <c r="O1116" s="59" t="n"/>
      <c r="X1116" s="61" t="n"/>
      <c r="Y1116" s="61" t="n"/>
    </row>
    <row r="1117" ht="14.25" customHeight="1" s="86">
      <c r="E1117" s="53" t="inlineStr">
        <is>
          <t>KY</t>
        </is>
      </c>
      <c r="F1117" s="53" t="inlineStr">
        <is>
          <t>WOODFORD</t>
        </is>
      </c>
      <c r="G1117" s="59" t="n"/>
      <c r="N1117" s="59" t="n"/>
      <c r="O1117" s="59" t="n"/>
      <c r="X1117" s="61" t="n"/>
      <c r="Y1117" s="61" t="n"/>
    </row>
    <row r="1118" ht="14.25" customHeight="1" s="86">
      <c r="E1118" s="53" t="inlineStr">
        <is>
          <t>LA</t>
        </is>
      </c>
      <c r="F1118" s="53" t="inlineStr">
        <is>
          <t>ACADIA</t>
        </is>
      </c>
      <c r="G1118" s="59" t="n"/>
      <c r="N1118" s="59" t="n"/>
      <c r="O1118" s="59" t="n"/>
      <c r="X1118" s="61" t="n"/>
      <c r="Y1118" s="61" t="n"/>
    </row>
    <row r="1119" ht="14.25" customHeight="1" s="86">
      <c r="E1119" s="53" t="inlineStr">
        <is>
          <t>LA</t>
        </is>
      </c>
      <c r="F1119" s="53" t="inlineStr">
        <is>
          <t>ALLEN</t>
        </is>
      </c>
      <c r="G1119" s="59" t="n"/>
      <c r="N1119" s="59" t="n"/>
      <c r="O1119" s="59" t="n"/>
      <c r="X1119" s="61" t="n"/>
      <c r="Y1119" s="61" t="n"/>
    </row>
    <row r="1120" ht="14.25" customHeight="1" s="86">
      <c r="E1120" s="53" t="inlineStr">
        <is>
          <t>LA</t>
        </is>
      </c>
      <c r="F1120" s="53" t="inlineStr">
        <is>
          <t>ASCENSION</t>
        </is>
      </c>
      <c r="G1120" s="59" t="n"/>
      <c r="N1120" s="59" t="n"/>
      <c r="O1120" s="59" t="n"/>
      <c r="X1120" s="61" t="n"/>
      <c r="Y1120" s="61" t="n"/>
    </row>
    <row r="1121" ht="14.25" customHeight="1" s="86">
      <c r="E1121" s="53" t="inlineStr">
        <is>
          <t>LA</t>
        </is>
      </c>
      <c r="F1121" s="53" t="inlineStr">
        <is>
          <t>ASSUMPTION</t>
        </is>
      </c>
      <c r="G1121" s="59" t="n"/>
      <c r="N1121" s="59" t="n"/>
      <c r="O1121" s="59" t="n"/>
      <c r="X1121" s="61" t="n"/>
      <c r="Y1121" s="61" t="n"/>
    </row>
    <row r="1122" ht="14.25" customHeight="1" s="86">
      <c r="E1122" s="53" t="inlineStr">
        <is>
          <t>LA</t>
        </is>
      </c>
      <c r="F1122" s="53" t="inlineStr">
        <is>
          <t>AVOYELLES</t>
        </is>
      </c>
      <c r="G1122" s="59" t="n"/>
      <c r="N1122" s="59" t="n"/>
      <c r="O1122" s="59" t="n"/>
      <c r="X1122" s="61" t="n"/>
      <c r="Y1122" s="61" t="n"/>
    </row>
    <row r="1123" ht="14.25" customHeight="1" s="86">
      <c r="E1123" s="53" t="inlineStr">
        <is>
          <t>LA</t>
        </is>
      </c>
      <c r="F1123" s="53" t="inlineStr">
        <is>
          <t>BEAUREGARD</t>
        </is>
      </c>
      <c r="G1123" s="59" t="n"/>
      <c r="N1123" s="59" t="n"/>
      <c r="O1123" s="59" t="n"/>
      <c r="X1123" s="61" t="n"/>
      <c r="Y1123" s="61" t="n"/>
    </row>
    <row r="1124" ht="14.25" customHeight="1" s="86">
      <c r="E1124" s="53" t="inlineStr">
        <is>
          <t>LA</t>
        </is>
      </c>
      <c r="F1124" s="53" t="inlineStr">
        <is>
          <t>BIENVILLE</t>
        </is>
      </c>
      <c r="G1124" s="59" t="n"/>
      <c r="N1124" s="59" t="n"/>
      <c r="O1124" s="59" t="n"/>
      <c r="X1124" s="61" t="n"/>
      <c r="Y1124" s="61" t="n"/>
    </row>
    <row r="1125" ht="14.25" customHeight="1" s="86">
      <c r="E1125" s="53" t="inlineStr">
        <is>
          <t>LA</t>
        </is>
      </c>
      <c r="F1125" s="53" t="inlineStr">
        <is>
          <t>BOSSIER</t>
        </is>
      </c>
      <c r="G1125" s="59" t="n"/>
      <c r="N1125" s="59" t="n"/>
      <c r="O1125" s="59" t="n"/>
      <c r="X1125" s="61" t="n"/>
      <c r="Y1125" s="61" t="n"/>
    </row>
    <row r="1126" ht="14.25" customHeight="1" s="86">
      <c r="E1126" s="53" t="inlineStr">
        <is>
          <t>LA</t>
        </is>
      </c>
      <c r="F1126" s="53" t="inlineStr">
        <is>
          <t>CADDO</t>
        </is>
      </c>
      <c r="G1126" s="59" t="n"/>
      <c r="N1126" s="59" t="n"/>
      <c r="O1126" s="59" t="n"/>
      <c r="X1126" s="61" t="n"/>
      <c r="Y1126" s="61" t="n"/>
    </row>
    <row r="1127" ht="14.25" customHeight="1" s="86">
      <c r="E1127" s="53" t="inlineStr">
        <is>
          <t>LA</t>
        </is>
      </c>
      <c r="F1127" s="53" t="inlineStr">
        <is>
          <t>CALCASIEU</t>
        </is>
      </c>
      <c r="G1127" s="59" t="n"/>
      <c r="N1127" s="59" t="n"/>
      <c r="O1127" s="59" t="n"/>
      <c r="X1127" s="61" t="n"/>
      <c r="Y1127" s="61" t="n"/>
    </row>
    <row r="1128" ht="14.25" customHeight="1" s="86">
      <c r="E1128" s="53" t="inlineStr">
        <is>
          <t>LA</t>
        </is>
      </c>
      <c r="F1128" s="53" t="inlineStr">
        <is>
          <t>CALDWELL</t>
        </is>
      </c>
      <c r="G1128" s="59" t="n"/>
      <c r="N1128" s="59" t="n"/>
      <c r="O1128" s="59" t="n"/>
      <c r="X1128" s="61" t="n"/>
      <c r="Y1128" s="61" t="n"/>
    </row>
    <row r="1129" ht="14.25" customHeight="1" s="86">
      <c r="E1129" s="53" t="inlineStr">
        <is>
          <t>LA</t>
        </is>
      </c>
      <c r="F1129" s="53" t="inlineStr">
        <is>
          <t>CAMERON</t>
        </is>
      </c>
      <c r="G1129" s="59" t="n"/>
      <c r="N1129" s="59" t="n"/>
      <c r="O1129" s="59" t="n"/>
      <c r="X1129" s="61" t="n"/>
      <c r="Y1129" s="61" t="n"/>
    </row>
    <row r="1130" ht="14.25" customHeight="1" s="86">
      <c r="E1130" s="53" t="inlineStr">
        <is>
          <t>LA</t>
        </is>
      </c>
      <c r="F1130" s="53" t="inlineStr">
        <is>
          <t>CATAHOULA</t>
        </is>
      </c>
      <c r="G1130" s="59" t="n"/>
      <c r="N1130" s="59" t="n"/>
      <c r="O1130" s="59" t="n"/>
      <c r="X1130" s="61" t="n"/>
      <c r="Y1130" s="61" t="n"/>
    </row>
    <row r="1131" ht="14.25" customHeight="1" s="86">
      <c r="E1131" s="53" t="inlineStr">
        <is>
          <t>LA</t>
        </is>
      </c>
      <c r="F1131" s="53" t="inlineStr">
        <is>
          <t>CLAIBORNE</t>
        </is>
      </c>
      <c r="G1131" s="59" t="n"/>
      <c r="N1131" s="59" t="n"/>
      <c r="O1131" s="59" t="n"/>
      <c r="X1131" s="61" t="n"/>
      <c r="Y1131" s="61" t="n"/>
    </row>
    <row r="1132" ht="14.25" customHeight="1" s="86">
      <c r="E1132" s="53" t="inlineStr">
        <is>
          <t>LA</t>
        </is>
      </c>
      <c r="F1132" s="53" t="inlineStr">
        <is>
          <t>CONCORDIA</t>
        </is>
      </c>
      <c r="G1132" s="59" t="n"/>
      <c r="N1132" s="59" t="n"/>
      <c r="O1132" s="59" t="n"/>
      <c r="X1132" s="61" t="n"/>
      <c r="Y1132" s="61" t="n"/>
    </row>
    <row r="1133" ht="14.25" customHeight="1" s="86">
      <c r="E1133" s="53" t="inlineStr">
        <is>
          <t>LA</t>
        </is>
      </c>
      <c r="F1133" s="53" t="inlineStr">
        <is>
          <t>DE SOTO</t>
        </is>
      </c>
      <c r="G1133" s="59" t="n"/>
      <c r="N1133" s="59" t="n"/>
      <c r="O1133" s="59" t="n"/>
      <c r="X1133" s="61" t="n"/>
      <c r="Y1133" s="61" t="n"/>
    </row>
    <row r="1134" ht="14.25" customHeight="1" s="86">
      <c r="E1134" s="53" t="inlineStr">
        <is>
          <t>LA</t>
        </is>
      </c>
      <c r="F1134" s="53" t="inlineStr">
        <is>
          <t>EAST BATON ROUGE</t>
        </is>
      </c>
      <c r="G1134" s="59" t="n"/>
      <c r="N1134" s="59" t="n"/>
      <c r="O1134" s="59" t="n"/>
      <c r="X1134" s="61" t="n"/>
      <c r="Y1134" s="61" t="n"/>
    </row>
    <row r="1135" ht="14.25" customHeight="1" s="86">
      <c r="E1135" s="53" t="inlineStr">
        <is>
          <t>LA</t>
        </is>
      </c>
      <c r="F1135" s="53" t="inlineStr">
        <is>
          <t>EAST CARROLL</t>
        </is>
      </c>
      <c r="G1135" s="59" t="n"/>
      <c r="N1135" s="59" t="n"/>
      <c r="O1135" s="59" t="n"/>
      <c r="X1135" s="61" t="n"/>
      <c r="Y1135" s="61" t="n"/>
    </row>
    <row r="1136" ht="14.25" customHeight="1" s="86">
      <c r="E1136" s="53" t="inlineStr">
        <is>
          <t>LA</t>
        </is>
      </c>
      <c r="F1136" s="53" t="inlineStr">
        <is>
          <t>EAST FELICIANA</t>
        </is>
      </c>
      <c r="G1136" s="59" t="n"/>
      <c r="N1136" s="59" t="n"/>
      <c r="O1136" s="59" t="n"/>
      <c r="X1136" s="61" t="n"/>
      <c r="Y1136" s="61" t="n"/>
    </row>
    <row r="1137" ht="14.25" customHeight="1" s="86">
      <c r="E1137" s="53" t="inlineStr">
        <is>
          <t>LA</t>
        </is>
      </c>
      <c r="F1137" s="53" t="inlineStr">
        <is>
          <t>EVANGELINE</t>
        </is>
      </c>
      <c r="G1137" s="59" t="n"/>
      <c r="N1137" s="59" t="n"/>
      <c r="O1137" s="59" t="n"/>
      <c r="X1137" s="61" t="n"/>
      <c r="Y1137" s="61" t="n"/>
    </row>
    <row r="1138" ht="14.25" customHeight="1" s="86">
      <c r="E1138" s="53" t="inlineStr">
        <is>
          <t>LA</t>
        </is>
      </c>
      <c r="F1138" s="53" t="inlineStr">
        <is>
          <t>FRANKLIN</t>
        </is>
      </c>
      <c r="G1138" s="59" t="n"/>
      <c r="N1138" s="59" t="n"/>
      <c r="O1138" s="59" t="n"/>
      <c r="X1138" s="61" t="n"/>
      <c r="Y1138" s="61" t="n"/>
    </row>
    <row r="1139" ht="14.25" customHeight="1" s="86">
      <c r="E1139" s="53" t="inlineStr">
        <is>
          <t>LA</t>
        </is>
      </c>
      <c r="F1139" s="53" t="inlineStr">
        <is>
          <t>GRANT</t>
        </is>
      </c>
      <c r="G1139" s="59" t="n"/>
      <c r="N1139" s="59" t="n"/>
      <c r="O1139" s="59" t="n"/>
      <c r="X1139" s="61" t="n"/>
      <c r="Y1139" s="61" t="n"/>
    </row>
    <row r="1140" ht="14.25" customHeight="1" s="86">
      <c r="E1140" s="53" t="inlineStr">
        <is>
          <t>LA</t>
        </is>
      </c>
      <c r="F1140" s="53" t="inlineStr">
        <is>
          <t>IBERIA</t>
        </is>
      </c>
      <c r="G1140" s="59" t="n"/>
      <c r="N1140" s="59" t="n"/>
      <c r="O1140" s="59" t="n"/>
      <c r="X1140" s="61" t="n"/>
      <c r="Y1140" s="61" t="n"/>
    </row>
    <row r="1141" ht="14.25" customHeight="1" s="86">
      <c r="E1141" s="53" t="inlineStr">
        <is>
          <t>LA</t>
        </is>
      </c>
      <c r="F1141" s="53" t="inlineStr">
        <is>
          <t>IBERVILLE</t>
        </is>
      </c>
      <c r="G1141" s="59" t="n"/>
      <c r="N1141" s="59" t="n"/>
      <c r="O1141" s="59" t="n"/>
      <c r="X1141" s="61" t="n"/>
      <c r="Y1141" s="61" t="n"/>
    </row>
    <row r="1142" ht="14.25" customHeight="1" s="86">
      <c r="E1142" s="53" t="inlineStr">
        <is>
          <t>LA</t>
        </is>
      </c>
      <c r="F1142" s="53" t="inlineStr">
        <is>
          <t>JACKSON</t>
        </is>
      </c>
      <c r="G1142" s="59" t="n"/>
      <c r="N1142" s="59" t="n"/>
      <c r="O1142" s="59" t="n"/>
      <c r="X1142" s="61" t="n"/>
      <c r="Y1142" s="61" t="n"/>
    </row>
    <row r="1143" ht="14.25" customHeight="1" s="86">
      <c r="E1143" s="53" t="inlineStr">
        <is>
          <t>LA</t>
        </is>
      </c>
      <c r="F1143" s="53" t="inlineStr">
        <is>
          <t>JEFFERSON</t>
        </is>
      </c>
      <c r="G1143" s="59" t="n"/>
      <c r="N1143" s="59" t="n"/>
      <c r="O1143" s="59" t="n"/>
      <c r="X1143" s="61" t="n"/>
      <c r="Y1143" s="61" t="n"/>
    </row>
    <row r="1144" ht="14.25" customHeight="1" s="86">
      <c r="E1144" s="53" t="inlineStr">
        <is>
          <t>LA</t>
        </is>
      </c>
      <c r="F1144" s="53" t="inlineStr">
        <is>
          <t>JEFFERSON DAVIS</t>
        </is>
      </c>
      <c r="G1144" s="59" t="n"/>
      <c r="N1144" s="59" t="n"/>
      <c r="O1144" s="59" t="n"/>
      <c r="X1144" s="61" t="n"/>
      <c r="Y1144" s="61" t="n"/>
    </row>
    <row r="1145" ht="14.25" customHeight="1" s="86">
      <c r="E1145" s="53" t="inlineStr">
        <is>
          <t>LA</t>
        </is>
      </c>
      <c r="F1145" s="53" t="inlineStr">
        <is>
          <t>LA SALLE</t>
        </is>
      </c>
      <c r="G1145" s="59" t="n"/>
      <c r="N1145" s="59" t="n"/>
      <c r="O1145" s="59" t="n"/>
      <c r="X1145" s="61" t="n"/>
      <c r="Y1145" s="61" t="n"/>
    </row>
    <row r="1146" ht="14.25" customHeight="1" s="86">
      <c r="E1146" s="53" t="inlineStr">
        <is>
          <t>LA</t>
        </is>
      </c>
      <c r="F1146" s="53" t="inlineStr">
        <is>
          <t>LAFAYETTE</t>
        </is>
      </c>
      <c r="G1146" s="59" t="n"/>
      <c r="N1146" s="59" t="n"/>
      <c r="O1146" s="59" t="n"/>
      <c r="X1146" s="61" t="n"/>
      <c r="Y1146" s="61" t="n"/>
    </row>
    <row r="1147" ht="14.25" customHeight="1" s="86">
      <c r="E1147" s="53" t="inlineStr">
        <is>
          <t>LA</t>
        </is>
      </c>
      <c r="F1147" s="53" t="inlineStr">
        <is>
          <t>LAFOURCHE</t>
        </is>
      </c>
      <c r="G1147" s="59" t="n"/>
      <c r="N1147" s="59" t="n"/>
      <c r="O1147" s="59" t="n"/>
      <c r="X1147" s="61" t="n"/>
      <c r="Y1147" s="61" t="n"/>
    </row>
    <row r="1148" ht="14.25" customHeight="1" s="86">
      <c r="E1148" s="53" t="inlineStr">
        <is>
          <t>LA</t>
        </is>
      </c>
      <c r="F1148" s="53" t="inlineStr">
        <is>
          <t>LINCOLN</t>
        </is>
      </c>
      <c r="G1148" s="59" t="n"/>
      <c r="N1148" s="59" t="n"/>
      <c r="O1148" s="59" t="n"/>
      <c r="X1148" s="61" t="n"/>
      <c r="Y1148" s="61" t="n"/>
    </row>
    <row r="1149" ht="14.25" customHeight="1" s="86">
      <c r="E1149" s="53" t="inlineStr">
        <is>
          <t>LA</t>
        </is>
      </c>
      <c r="F1149" s="53" t="inlineStr">
        <is>
          <t>LIVINGSTON</t>
        </is>
      </c>
      <c r="G1149" s="59" t="n"/>
      <c r="N1149" s="59" t="n"/>
      <c r="O1149" s="59" t="n"/>
      <c r="X1149" s="61" t="n"/>
      <c r="Y1149" s="61" t="n"/>
    </row>
    <row r="1150" ht="14.25" customHeight="1" s="86">
      <c r="E1150" s="53" t="inlineStr">
        <is>
          <t>LA</t>
        </is>
      </c>
      <c r="F1150" s="53" t="inlineStr">
        <is>
          <t>MADISON</t>
        </is>
      </c>
      <c r="G1150" s="59" t="n"/>
      <c r="N1150" s="59" t="n"/>
      <c r="O1150" s="59" t="n"/>
      <c r="X1150" s="61" t="n"/>
      <c r="Y1150" s="61" t="n"/>
    </row>
    <row r="1151" ht="14.25" customHeight="1" s="86">
      <c r="E1151" s="53" t="inlineStr">
        <is>
          <t>LA</t>
        </is>
      </c>
      <c r="F1151" s="53" t="inlineStr">
        <is>
          <t>MOREHOUSE</t>
        </is>
      </c>
      <c r="G1151" s="59" t="n"/>
      <c r="N1151" s="59" t="n"/>
      <c r="O1151" s="59" t="n"/>
      <c r="X1151" s="61" t="n"/>
      <c r="Y1151" s="61" t="n"/>
    </row>
    <row r="1152" ht="14.25" customHeight="1" s="86">
      <c r="E1152" s="53" t="inlineStr">
        <is>
          <t>LA</t>
        </is>
      </c>
      <c r="F1152" s="53" t="inlineStr">
        <is>
          <t>NATCHITOCHES</t>
        </is>
      </c>
      <c r="G1152" s="59" t="n"/>
      <c r="N1152" s="59" t="n"/>
      <c r="O1152" s="59" t="n"/>
      <c r="X1152" s="61" t="n"/>
      <c r="Y1152" s="61" t="n"/>
    </row>
    <row r="1153" ht="14.25" customHeight="1" s="86">
      <c r="E1153" s="53" t="inlineStr">
        <is>
          <t>LA</t>
        </is>
      </c>
      <c r="F1153" s="53" t="inlineStr">
        <is>
          <t>ORLEANS</t>
        </is>
      </c>
      <c r="G1153" s="59" t="n"/>
      <c r="N1153" s="59" t="n"/>
      <c r="O1153" s="59" t="n"/>
      <c r="X1153" s="61" t="n"/>
      <c r="Y1153" s="61" t="n"/>
    </row>
    <row r="1154" ht="14.25" customHeight="1" s="86">
      <c r="E1154" s="53" t="inlineStr">
        <is>
          <t>LA</t>
        </is>
      </c>
      <c r="F1154" s="53" t="inlineStr">
        <is>
          <t>OUACHITA</t>
        </is>
      </c>
      <c r="G1154" s="59" t="n"/>
      <c r="N1154" s="59" t="n"/>
      <c r="O1154" s="59" t="n"/>
      <c r="X1154" s="61" t="n"/>
      <c r="Y1154" s="61" t="n"/>
    </row>
    <row r="1155" ht="14.25" customHeight="1" s="86">
      <c r="E1155" s="53" t="inlineStr">
        <is>
          <t>LA</t>
        </is>
      </c>
      <c r="F1155" s="53" t="inlineStr">
        <is>
          <t>PLAQUEMINES</t>
        </is>
      </c>
      <c r="G1155" s="59" t="n"/>
      <c r="N1155" s="59" t="n"/>
      <c r="O1155" s="59" t="n"/>
      <c r="X1155" s="61" t="n"/>
      <c r="Y1155" s="61" t="n"/>
    </row>
    <row r="1156" ht="14.25" customHeight="1" s="86">
      <c r="E1156" s="53" t="inlineStr">
        <is>
          <t>LA</t>
        </is>
      </c>
      <c r="F1156" s="53" t="inlineStr">
        <is>
          <t>POINTE COUPEE</t>
        </is>
      </c>
      <c r="G1156" s="59" t="n"/>
      <c r="N1156" s="59" t="n"/>
      <c r="O1156" s="59" t="n"/>
      <c r="X1156" s="61" t="n"/>
      <c r="Y1156" s="61" t="n"/>
    </row>
    <row r="1157" ht="14.25" customHeight="1" s="86">
      <c r="E1157" s="53" t="inlineStr">
        <is>
          <t>LA</t>
        </is>
      </c>
      <c r="F1157" s="53" t="inlineStr">
        <is>
          <t>RAPIDES</t>
        </is>
      </c>
      <c r="G1157" s="59" t="n"/>
      <c r="N1157" s="59" t="n"/>
      <c r="O1157" s="59" t="n"/>
      <c r="X1157" s="61" t="n"/>
      <c r="Y1157" s="61" t="n"/>
    </row>
    <row r="1158" ht="14.25" customHeight="1" s="86">
      <c r="E1158" s="53" t="inlineStr">
        <is>
          <t>LA</t>
        </is>
      </c>
      <c r="F1158" s="53" t="inlineStr">
        <is>
          <t>RED RIVER</t>
        </is>
      </c>
      <c r="G1158" s="59" t="n"/>
      <c r="N1158" s="59" t="n"/>
      <c r="O1158" s="59" t="n"/>
      <c r="X1158" s="61" t="n"/>
      <c r="Y1158" s="61" t="n"/>
    </row>
    <row r="1159" ht="14.25" customHeight="1" s="86">
      <c r="E1159" s="53" t="inlineStr">
        <is>
          <t>LA</t>
        </is>
      </c>
      <c r="F1159" s="53" t="inlineStr">
        <is>
          <t>RICHLAND</t>
        </is>
      </c>
      <c r="G1159" s="59" t="n"/>
      <c r="N1159" s="59" t="n"/>
      <c r="O1159" s="59" t="n"/>
      <c r="X1159" s="61" t="n"/>
      <c r="Y1159" s="61" t="n"/>
    </row>
    <row r="1160" ht="14.25" customHeight="1" s="86">
      <c r="E1160" s="53" t="inlineStr">
        <is>
          <t>LA</t>
        </is>
      </c>
      <c r="F1160" s="53" t="inlineStr">
        <is>
          <t>SABINE</t>
        </is>
      </c>
      <c r="G1160" s="59" t="n"/>
      <c r="N1160" s="59" t="n"/>
      <c r="O1160" s="59" t="n"/>
      <c r="X1160" s="61" t="n"/>
      <c r="Y1160" s="61" t="n"/>
    </row>
    <row r="1161" ht="14.25" customHeight="1" s="86">
      <c r="E1161" s="53" t="inlineStr">
        <is>
          <t>LA</t>
        </is>
      </c>
      <c r="F1161" s="53" t="inlineStr">
        <is>
          <t>SAINT BERNARD</t>
        </is>
      </c>
      <c r="G1161" s="59" t="n"/>
      <c r="N1161" s="59" t="n"/>
      <c r="O1161" s="59" t="n"/>
      <c r="X1161" s="61" t="n"/>
      <c r="Y1161" s="61" t="n"/>
    </row>
    <row r="1162" ht="14.25" customHeight="1" s="86">
      <c r="E1162" s="53" t="inlineStr">
        <is>
          <t>LA</t>
        </is>
      </c>
      <c r="F1162" s="53" t="inlineStr">
        <is>
          <t>SAINT CHARLES</t>
        </is>
      </c>
      <c r="G1162" s="59" t="n"/>
      <c r="N1162" s="59" t="n"/>
      <c r="O1162" s="59" t="n"/>
      <c r="X1162" s="61" t="n"/>
      <c r="Y1162" s="61" t="n"/>
    </row>
    <row r="1163" ht="14.25" customHeight="1" s="86">
      <c r="E1163" s="53" t="inlineStr">
        <is>
          <t>LA</t>
        </is>
      </c>
      <c r="F1163" s="53" t="inlineStr">
        <is>
          <t>SAINT HELENA</t>
        </is>
      </c>
      <c r="G1163" s="59" t="n"/>
      <c r="N1163" s="59" t="n"/>
      <c r="O1163" s="59" t="n"/>
      <c r="X1163" s="61" t="n"/>
      <c r="Y1163" s="61" t="n"/>
    </row>
    <row r="1164" ht="14.25" customHeight="1" s="86">
      <c r="E1164" s="53" t="inlineStr">
        <is>
          <t>LA</t>
        </is>
      </c>
      <c r="F1164" s="53" t="inlineStr">
        <is>
          <t>SAINT JAMES</t>
        </is>
      </c>
      <c r="G1164" s="59" t="n"/>
      <c r="N1164" s="59" t="n"/>
      <c r="O1164" s="59" t="n"/>
      <c r="X1164" s="61" t="n"/>
      <c r="Y1164" s="61" t="n"/>
    </row>
    <row r="1165" ht="14.25" customHeight="1" s="86">
      <c r="E1165" s="53" t="inlineStr">
        <is>
          <t>LA</t>
        </is>
      </c>
      <c r="F1165" s="53" t="inlineStr">
        <is>
          <t>SAINT LANDRY</t>
        </is>
      </c>
      <c r="G1165" s="59" t="n"/>
      <c r="N1165" s="59" t="n"/>
      <c r="O1165" s="59" t="n"/>
      <c r="X1165" s="61" t="n"/>
      <c r="Y1165" s="61" t="n"/>
    </row>
    <row r="1166" ht="14.25" customHeight="1" s="86">
      <c r="E1166" s="53" t="inlineStr">
        <is>
          <t>LA</t>
        </is>
      </c>
      <c r="F1166" s="53" t="inlineStr">
        <is>
          <t>SAINT MARTIN</t>
        </is>
      </c>
      <c r="G1166" s="59" t="n"/>
      <c r="N1166" s="59" t="n"/>
      <c r="O1166" s="59" t="n"/>
      <c r="X1166" s="61" t="n"/>
      <c r="Y1166" s="61" t="n"/>
    </row>
    <row r="1167" ht="14.25" customHeight="1" s="86">
      <c r="E1167" s="53" t="inlineStr">
        <is>
          <t>LA</t>
        </is>
      </c>
      <c r="F1167" s="53" t="inlineStr">
        <is>
          <t>SAINT MARY</t>
        </is>
      </c>
      <c r="G1167" s="59" t="n"/>
      <c r="N1167" s="59" t="n"/>
      <c r="O1167" s="59" t="n"/>
      <c r="X1167" s="61" t="n"/>
      <c r="Y1167" s="61" t="n"/>
    </row>
    <row r="1168" ht="14.25" customHeight="1" s="86">
      <c r="E1168" s="53" t="inlineStr">
        <is>
          <t>LA</t>
        </is>
      </c>
      <c r="F1168" s="53" t="inlineStr">
        <is>
          <t>SAINT TAMMANY</t>
        </is>
      </c>
      <c r="G1168" s="59" t="n"/>
      <c r="N1168" s="59" t="n"/>
      <c r="O1168" s="59" t="n"/>
      <c r="X1168" s="61" t="n"/>
      <c r="Y1168" s="61" t="n"/>
    </row>
    <row r="1169" ht="14.25" customHeight="1" s="86">
      <c r="E1169" s="53" t="inlineStr">
        <is>
          <t>LA</t>
        </is>
      </c>
      <c r="F1169" s="53" t="inlineStr">
        <is>
          <t>ST JOHN THE BAPTIST</t>
        </is>
      </c>
      <c r="G1169" s="59" t="n"/>
      <c r="N1169" s="59" t="n"/>
      <c r="O1169" s="59" t="n"/>
      <c r="X1169" s="61" t="n"/>
      <c r="Y1169" s="61" t="n"/>
    </row>
    <row r="1170" ht="14.25" customHeight="1" s="86">
      <c r="E1170" s="53" t="inlineStr">
        <is>
          <t>LA</t>
        </is>
      </c>
      <c r="F1170" s="53" t="inlineStr">
        <is>
          <t>TANGIPAHOA</t>
        </is>
      </c>
      <c r="G1170" s="59" t="n"/>
      <c r="N1170" s="59" t="n"/>
      <c r="O1170" s="59" t="n"/>
      <c r="X1170" s="61" t="n"/>
      <c r="Y1170" s="61" t="n"/>
    </row>
    <row r="1171" ht="14.25" customHeight="1" s="86">
      <c r="E1171" s="53" t="inlineStr">
        <is>
          <t>LA</t>
        </is>
      </c>
      <c r="F1171" s="53" t="inlineStr">
        <is>
          <t>TENSAS</t>
        </is>
      </c>
      <c r="G1171" s="59" t="n"/>
      <c r="N1171" s="59" t="n"/>
      <c r="O1171" s="59" t="n"/>
      <c r="X1171" s="61" t="n"/>
      <c r="Y1171" s="61" t="n"/>
    </row>
    <row r="1172" ht="14.25" customHeight="1" s="86">
      <c r="E1172" s="53" t="inlineStr">
        <is>
          <t>LA</t>
        </is>
      </c>
      <c r="F1172" s="53" t="inlineStr">
        <is>
          <t>TERREBONNE</t>
        </is>
      </c>
      <c r="G1172" s="59" t="n"/>
      <c r="N1172" s="59" t="n"/>
      <c r="O1172" s="59" t="n"/>
      <c r="X1172" s="61" t="n"/>
      <c r="Y1172" s="61" t="n"/>
    </row>
    <row r="1173" ht="14.25" customHeight="1" s="86">
      <c r="E1173" s="53" t="inlineStr">
        <is>
          <t>LA</t>
        </is>
      </c>
      <c r="F1173" s="53" t="inlineStr">
        <is>
          <t>UNION</t>
        </is>
      </c>
      <c r="G1173" s="59" t="n"/>
      <c r="N1173" s="59" t="n"/>
      <c r="O1173" s="59" t="n"/>
      <c r="X1173" s="61" t="n"/>
      <c r="Y1173" s="61" t="n"/>
    </row>
    <row r="1174" ht="14.25" customHeight="1" s="86">
      <c r="E1174" s="53" t="inlineStr">
        <is>
          <t>LA</t>
        </is>
      </c>
      <c r="F1174" s="53" t="inlineStr">
        <is>
          <t>VERMILION</t>
        </is>
      </c>
      <c r="G1174" s="59" t="n"/>
      <c r="N1174" s="59" t="n"/>
      <c r="O1174" s="59" t="n"/>
      <c r="X1174" s="61" t="n"/>
      <c r="Y1174" s="61" t="n"/>
    </row>
    <row r="1175" ht="14.25" customHeight="1" s="86">
      <c r="E1175" s="53" t="inlineStr">
        <is>
          <t>LA</t>
        </is>
      </c>
      <c r="F1175" s="53" t="inlineStr">
        <is>
          <t>VERNON</t>
        </is>
      </c>
      <c r="G1175" s="59" t="n"/>
      <c r="N1175" s="59" t="n"/>
      <c r="O1175" s="59" t="n"/>
      <c r="X1175" s="61" t="n"/>
      <c r="Y1175" s="61" t="n"/>
    </row>
    <row r="1176" ht="14.25" customHeight="1" s="86">
      <c r="E1176" s="53" t="inlineStr">
        <is>
          <t>LA</t>
        </is>
      </c>
      <c r="F1176" s="53" t="inlineStr">
        <is>
          <t>WASHINGTON</t>
        </is>
      </c>
      <c r="G1176" s="59" t="n"/>
      <c r="N1176" s="59" t="n"/>
      <c r="O1176" s="59" t="n"/>
      <c r="X1176" s="61" t="n"/>
      <c r="Y1176" s="61" t="n"/>
    </row>
    <row r="1177" ht="14.25" customHeight="1" s="86">
      <c r="E1177" s="53" t="inlineStr">
        <is>
          <t>LA</t>
        </is>
      </c>
      <c r="F1177" s="53" t="inlineStr">
        <is>
          <t>WEBSTER</t>
        </is>
      </c>
      <c r="G1177" s="69" t="n"/>
      <c r="N1177" s="59" t="n"/>
      <c r="O1177" s="59" t="n"/>
      <c r="X1177" s="61" t="n"/>
      <c r="Y1177" s="61" t="n"/>
    </row>
    <row r="1178" ht="14.25" customHeight="1" s="86">
      <c r="E1178" s="53" t="inlineStr">
        <is>
          <t>LA</t>
        </is>
      </c>
      <c r="F1178" s="53" t="inlineStr">
        <is>
          <t>WEST BATON ROUGE</t>
        </is>
      </c>
      <c r="G1178" s="69" t="n"/>
      <c r="N1178" s="59" t="n"/>
      <c r="O1178" s="59" t="n"/>
      <c r="X1178" s="61" t="n"/>
      <c r="Y1178" s="61" t="n"/>
    </row>
    <row r="1179" ht="14.25" customHeight="1" s="86">
      <c r="E1179" s="53" t="inlineStr">
        <is>
          <t>LA</t>
        </is>
      </c>
      <c r="F1179" s="53" t="inlineStr">
        <is>
          <t>WEST CARROLL</t>
        </is>
      </c>
      <c r="G1179" s="69" t="n"/>
      <c r="N1179" s="59" t="n"/>
      <c r="O1179" s="59" t="n"/>
      <c r="X1179" s="61" t="n"/>
      <c r="Y1179" s="61" t="n"/>
    </row>
    <row r="1180" ht="14.25" customHeight="1" s="86">
      <c r="E1180" s="53" t="inlineStr">
        <is>
          <t>LA</t>
        </is>
      </c>
      <c r="F1180" s="53" t="inlineStr">
        <is>
          <t>WEST FELICIANA</t>
        </is>
      </c>
      <c r="G1180" s="69" t="n"/>
      <c r="N1180" s="59" t="n"/>
      <c r="O1180" s="59" t="n"/>
      <c r="X1180" s="61" t="n"/>
      <c r="Y1180" s="61" t="n"/>
    </row>
    <row r="1181" ht="14.25" customHeight="1" s="86">
      <c r="E1181" s="53" t="inlineStr">
        <is>
          <t>LA</t>
        </is>
      </c>
      <c r="F1181" s="53" t="inlineStr">
        <is>
          <t>WINN</t>
        </is>
      </c>
      <c r="G1181" s="69" t="n"/>
      <c r="N1181" s="59" t="n"/>
      <c r="O1181" s="59" t="n"/>
      <c r="X1181" s="61" t="n"/>
      <c r="Y1181" s="61" t="n"/>
    </row>
    <row r="1182" ht="14.25" customHeight="1" s="86">
      <c r="E1182" s="53" t="inlineStr">
        <is>
          <t>MA</t>
        </is>
      </c>
      <c r="F1182" s="53" t="inlineStr">
        <is>
          <t>BARNSTABLE</t>
        </is>
      </c>
      <c r="G1182" s="69" t="n"/>
      <c r="N1182" s="59" t="n"/>
      <c r="O1182" s="59" t="n"/>
      <c r="X1182" s="61" t="n"/>
      <c r="Y1182" s="61" t="n"/>
    </row>
    <row r="1183" ht="14.25" customHeight="1" s="86">
      <c r="E1183" s="53" t="inlineStr">
        <is>
          <t>MA</t>
        </is>
      </c>
      <c r="F1183" s="53" t="inlineStr">
        <is>
          <t>BERKSHIRE</t>
        </is>
      </c>
      <c r="G1183" s="69" t="n"/>
      <c r="N1183" s="59" t="n"/>
      <c r="O1183" s="59" t="n"/>
      <c r="X1183" s="61" t="n"/>
      <c r="Y1183" s="61" t="n"/>
    </row>
    <row r="1184" ht="14.25" customHeight="1" s="86">
      <c r="E1184" s="53" t="inlineStr">
        <is>
          <t>MA</t>
        </is>
      </c>
      <c r="F1184" s="53" t="inlineStr">
        <is>
          <t>BRISTOL</t>
        </is>
      </c>
      <c r="G1184" s="69" t="n"/>
      <c r="N1184" s="59" t="n"/>
      <c r="O1184" s="59" t="n"/>
      <c r="X1184" s="61" t="n"/>
      <c r="Y1184" s="61" t="n"/>
    </row>
    <row r="1185" ht="14.25" customHeight="1" s="86">
      <c r="E1185" s="53" t="inlineStr">
        <is>
          <t>MA</t>
        </is>
      </c>
      <c r="F1185" s="53" t="inlineStr">
        <is>
          <t>DUKES</t>
        </is>
      </c>
      <c r="G1185" s="69" t="n"/>
      <c r="N1185" s="59" t="n"/>
      <c r="O1185" s="59" t="n"/>
      <c r="X1185" s="61" t="n"/>
      <c r="Y1185" s="61" t="n"/>
    </row>
    <row r="1186" ht="14.25" customHeight="1" s="86">
      <c r="E1186" s="53" t="inlineStr">
        <is>
          <t>MA</t>
        </is>
      </c>
      <c r="F1186" s="53" t="inlineStr">
        <is>
          <t>ESSEX</t>
        </is>
      </c>
      <c r="G1186" s="69" t="n"/>
      <c r="N1186" s="59" t="n"/>
      <c r="O1186" s="59" t="n"/>
      <c r="X1186" s="61" t="n"/>
      <c r="Y1186" s="61" t="n"/>
    </row>
    <row r="1187" ht="14.25" customHeight="1" s="86">
      <c r="E1187" s="53" t="inlineStr">
        <is>
          <t>MA</t>
        </is>
      </c>
      <c r="F1187" s="53" t="inlineStr">
        <is>
          <t>FRANKLIN</t>
        </is>
      </c>
      <c r="G1187" s="69" t="n"/>
      <c r="N1187" s="59" t="n"/>
      <c r="O1187" s="59" t="n"/>
      <c r="X1187" s="61" t="n"/>
      <c r="Y1187" s="61" t="n"/>
    </row>
    <row r="1188" ht="14.25" customHeight="1" s="86">
      <c r="E1188" s="53" t="inlineStr">
        <is>
          <t>MA</t>
        </is>
      </c>
      <c r="F1188" s="53" t="inlineStr">
        <is>
          <t>HAMPDEN</t>
        </is>
      </c>
      <c r="G1188" s="69" t="n"/>
      <c r="N1188" s="59" t="n"/>
      <c r="O1188" s="59" t="n"/>
      <c r="X1188" s="61" t="n"/>
      <c r="Y1188" s="61" t="n"/>
    </row>
    <row r="1189" ht="14.25" customHeight="1" s="86">
      <c r="E1189" s="53" t="inlineStr">
        <is>
          <t>MA</t>
        </is>
      </c>
      <c r="F1189" s="53" t="inlineStr">
        <is>
          <t>HAMPSHIRE</t>
        </is>
      </c>
      <c r="G1189" s="69" t="n"/>
      <c r="N1189" s="59" t="n"/>
      <c r="O1189" s="59" t="n"/>
      <c r="X1189" s="61" t="n"/>
      <c r="Y1189" s="61" t="n"/>
    </row>
    <row r="1190" ht="14.25" customHeight="1" s="86">
      <c r="E1190" s="53" t="inlineStr">
        <is>
          <t>MA</t>
        </is>
      </c>
      <c r="F1190" s="53" t="inlineStr">
        <is>
          <t>MIDDLESEX</t>
        </is>
      </c>
      <c r="G1190" s="69" t="n"/>
      <c r="N1190" s="59" t="n"/>
      <c r="O1190" s="59" t="n"/>
      <c r="X1190" s="61" t="n"/>
      <c r="Y1190" s="61" t="n"/>
    </row>
    <row r="1191" ht="14.25" customHeight="1" s="86">
      <c r="E1191" s="53" t="inlineStr">
        <is>
          <t>MA</t>
        </is>
      </c>
      <c r="F1191" s="53" t="inlineStr">
        <is>
          <t>NANTUCKET</t>
        </is>
      </c>
      <c r="G1191" s="69" t="n"/>
      <c r="N1191" s="59" t="n"/>
      <c r="O1191" s="59" t="n"/>
      <c r="X1191" s="61" t="n"/>
      <c r="Y1191" s="61" t="n"/>
    </row>
    <row r="1192" ht="14.25" customHeight="1" s="86">
      <c r="E1192" s="53" t="inlineStr">
        <is>
          <t>MA</t>
        </is>
      </c>
      <c r="F1192" s="53" t="inlineStr">
        <is>
          <t>NORFOLK</t>
        </is>
      </c>
      <c r="G1192" s="69" t="n"/>
      <c r="N1192" s="59" t="n"/>
      <c r="O1192" s="59" t="n"/>
      <c r="X1192" s="61" t="n"/>
      <c r="Y1192" s="61" t="n"/>
    </row>
    <row r="1193" ht="14.25" customHeight="1" s="86">
      <c r="E1193" s="53" t="inlineStr">
        <is>
          <t>MA</t>
        </is>
      </c>
      <c r="F1193" s="53" t="inlineStr">
        <is>
          <t>PLYMOUTH</t>
        </is>
      </c>
      <c r="G1193" s="59" t="n"/>
      <c r="N1193" s="59" t="n"/>
      <c r="O1193" s="59" t="n"/>
      <c r="X1193" s="61" t="n"/>
      <c r="Y1193" s="61" t="n"/>
    </row>
    <row r="1194" ht="14.25" customHeight="1" s="86">
      <c r="E1194" s="53" t="inlineStr">
        <is>
          <t>MA</t>
        </is>
      </c>
      <c r="F1194" s="53" t="inlineStr">
        <is>
          <t>SUFFOLK</t>
        </is>
      </c>
      <c r="G1194" s="59" t="n"/>
      <c r="N1194" s="59" t="n"/>
      <c r="O1194" s="59" t="n"/>
      <c r="X1194" s="61" t="n"/>
      <c r="Y1194" s="61" t="n"/>
    </row>
    <row r="1195" ht="14.25" customHeight="1" s="86">
      <c r="E1195" s="53" t="inlineStr">
        <is>
          <t>MA</t>
        </is>
      </c>
      <c r="F1195" s="53" t="inlineStr">
        <is>
          <t>WORCESTER</t>
        </is>
      </c>
      <c r="G1195" s="59" t="n"/>
      <c r="N1195" s="59" t="n"/>
      <c r="O1195" s="59" t="n"/>
      <c r="X1195" s="61" t="n"/>
      <c r="Y1195" s="61" t="n"/>
    </row>
    <row r="1196" ht="14.25" customHeight="1" s="86">
      <c r="E1196" s="53" t="inlineStr">
        <is>
          <t>MD</t>
        </is>
      </c>
      <c r="F1196" s="53" t="inlineStr">
        <is>
          <t>ALLEGANY</t>
        </is>
      </c>
      <c r="G1196" s="59" t="n"/>
      <c r="N1196" s="59" t="n"/>
      <c r="O1196" s="59" t="n"/>
      <c r="X1196" s="61" t="n"/>
      <c r="Y1196" s="61" t="n"/>
    </row>
    <row r="1197" ht="14.25" customHeight="1" s="86">
      <c r="E1197" s="53" t="inlineStr">
        <is>
          <t>MD</t>
        </is>
      </c>
      <c r="F1197" s="53" t="inlineStr">
        <is>
          <t>ANNE ARUNDEL</t>
        </is>
      </c>
      <c r="G1197" s="59" t="n"/>
      <c r="N1197" s="59" t="n"/>
      <c r="O1197" s="59" t="n"/>
      <c r="X1197" s="61" t="n"/>
      <c r="Y1197" s="61" t="n"/>
    </row>
    <row r="1198" ht="14.25" customHeight="1" s="86">
      <c r="E1198" s="53" t="inlineStr">
        <is>
          <t>MD</t>
        </is>
      </c>
      <c r="F1198" s="53" t="inlineStr">
        <is>
          <t>BALTIMORE</t>
        </is>
      </c>
      <c r="G1198" s="59" t="n"/>
      <c r="N1198" s="59" t="n"/>
      <c r="O1198" s="59" t="n"/>
      <c r="X1198" s="61" t="n"/>
      <c r="Y1198" s="61" t="n"/>
    </row>
    <row r="1199" ht="14.25" customHeight="1" s="86">
      <c r="E1199" s="53" t="inlineStr">
        <is>
          <t>MD</t>
        </is>
      </c>
      <c r="F1199" s="53" t="inlineStr">
        <is>
          <t>BALTIMORE CITY</t>
        </is>
      </c>
      <c r="G1199" s="59" t="n"/>
      <c r="N1199" s="59" t="n"/>
      <c r="O1199" s="59" t="n"/>
      <c r="X1199" s="61" t="n"/>
      <c r="Y1199" s="61" t="n"/>
    </row>
    <row r="1200" ht="14.25" customHeight="1" s="86">
      <c r="E1200" s="53" t="inlineStr">
        <is>
          <t>MD</t>
        </is>
      </c>
      <c r="F1200" s="53" t="inlineStr">
        <is>
          <t>CALVERT</t>
        </is>
      </c>
      <c r="G1200" s="59" t="n"/>
      <c r="N1200" s="59" t="n"/>
      <c r="O1200" s="59" t="n"/>
      <c r="X1200" s="61" t="n"/>
      <c r="Y1200" s="61" t="n"/>
    </row>
    <row r="1201" ht="14.25" customHeight="1" s="86">
      <c r="E1201" s="53" t="inlineStr">
        <is>
          <t>MD</t>
        </is>
      </c>
      <c r="F1201" s="53" t="inlineStr">
        <is>
          <t>CAROLINE</t>
        </is>
      </c>
      <c r="G1201" s="59" t="n"/>
      <c r="N1201" s="59" t="n"/>
      <c r="O1201" s="59" t="n"/>
      <c r="X1201" s="61" t="n"/>
      <c r="Y1201" s="61" t="n"/>
    </row>
    <row r="1202" ht="14.25" customHeight="1" s="86">
      <c r="E1202" s="53" t="inlineStr">
        <is>
          <t>MD</t>
        </is>
      </c>
      <c r="F1202" s="53" t="inlineStr">
        <is>
          <t>CARROLL</t>
        </is>
      </c>
      <c r="G1202" s="59" t="n"/>
      <c r="N1202" s="59" t="n"/>
      <c r="O1202" s="59" t="n"/>
      <c r="X1202" s="61" t="n"/>
      <c r="Y1202" s="61" t="n"/>
    </row>
    <row r="1203" ht="14.25" customHeight="1" s="86">
      <c r="E1203" s="53" t="inlineStr">
        <is>
          <t>MD</t>
        </is>
      </c>
      <c r="F1203" s="53" t="inlineStr">
        <is>
          <t>CECIL</t>
        </is>
      </c>
      <c r="G1203" s="59" t="n"/>
      <c r="N1203" s="59" t="n"/>
      <c r="O1203" s="59" t="n"/>
      <c r="X1203" s="61" t="n"/>
      <c r="Y1203" s="61" t="n"/>
    </row>
    <row r="1204" ht="14.25" customHeight="1" s="86">
      <c r="E1204" s="53" t="inlineStr">
        <is>
          <t>MD</t>
        </is>
      </c>
      <c r="F1204" s="53" t="inlineStr">
        <is>
          <t>CHARLES</t>
        </is>
      </c>
      <c r="G1204" s="59" t="n"/>
      <c r="N1204" s="59" t="n"/>
      <c r="O1204" s="59" t="n"/>
      <c r="X1204" s="61" t="n"/>
      <c r="Y1204" s="61" t="n"/>
    </row>
    <row r="1205" ht="14.25" customHeight="1" s="86">
      <c r="E1205" s="53" t="inlineStr">
        <is>
          <t>MD</t>
        </is>
      </c>
      <c r="F1205" s="53" t="inlineStr">
        <is>
          <t>DORCHESTER</t>
        </is>
      </c>
      <c r="G1205" s="59" t="n"/>
      <c r="N1205" s="59" t="n"/>
      <c r="O1205" s="59" t="n"/>
      <c r="X1205" s="61" t="n"/>
      <c r="Y1205" s="61" t="n"/>
    </row>
    <row r="1206" ht="14.25" customHeight="1" s="86">
      <c r="E1206" s="53" t="inlineStr">
        <is>
          <t>MD</t>
        </is>
      </c>
      <c r="F1206" s="53" t="inlineStr">
        <is>
          <t>FREDERICK</t>
        </is>
      </c>
      <c r="G1206" s="59" t="n"/>
      <c r="N1206" s="59" t="n"/>
      <c r="O1206" s="59" t="n"/>
      <c r="X1206" s="61" t="n"/>
      <c r="Y1206" s="61" t="n"/>
    </row>
    <row r="1207" ht="14.25" customHeight="1" s="86">
      <c r="E1207" s="53" t="inlineStr">
        <is>
          <t>MD</t>
        </is>
      </c>
      <c r="F1207" s="53" t="inlineStr">
        <is>
          <t>GARRETT</t>
        </is>
      </c>
      <c r="G1207" s="59" t="n"/>
      <c r="N1207" s="59" t="n"/>
      <c r="O1207" s="59" t="n"/>
      <c r="X1207" s="61" t="n"/>
      <c r="Y1207" s="61" t="n"/>
    </row>
    <row r="1208" ht="14.25" customHeight="1" s="86">
      <c r="E1208" s="53" t="inlineStr">
        <is>
          <t>MD</t>
        </is>
      </c>
      <c r="F1208" s="53" t="inlineStr">
        <is>
          <t>HARFORD</t>
        </is>
      </c>
      <c r="G1208" s="59" t="n"/>
      <c r="N1208" s="59" t="n"/>
      <c r="O1208" s="59" t="n"/>
      <c r="X1208" s="61" t="n"/>
      <c r="Y1208" s="61" t="n"/>
    </row>
    <row r="1209" ht="14.25" customHeight="1" s="86">
      <c r="E1209" s="53" t="inlineStr">
        <is>
          <t>MD</t>
        </is>
      </c>
      <c r="F1209" s="53" t="inlineStr">
        <is>
          <t>HOWARD</t>
        </is>
      </c>
      <c r="G1209" s="59" t="n"/>
      <c r="N1209" s="59" t="n"/>
      <c r="O1209" s="59" t="n"/>
      <c r="X1209" s="61" t="n"/>
      <c r="Y1209" s="61" t="n"/>
    </row>
    <row r="1210" ht="14.25" customHeight="1" s="86">
      <c r="E1210" s="53" t="inlineStr">
        <is>
          <t>MD</t>
        </is>
      </c>
      <c r="F1210" s="53" t="inlineStr">
        <is>
          <t>KENT</t>
        </is>
      </c>
      <c r="G1210" s="59" t="n"/>
      <c r="N1210" s="59" t="n"/>
      <c r="O1210" s="59" t="n"/>
      <c r="X1210" s="61" t="n"/>
      <c r="Y1210" s="61" t="n"/>
    </row>
    <row r="1211" ht="14.25" customHeight="1" s="86">
      <c r="E1211" s="53" t="inlineStr">
        <is>
          <t>MD</t>
        </is>
      </c>
      <c r="F1211" s="53" t="inlineStr">
        <is>
          <t>MONTGOMERY</t>
        </is>
      </c>
      <c r="G1211" s="59" t="n"/>
      <c r="N1211" s="59" t="n"/>
      <c r="O1211" s="59" t="n"/>
      <c r="X1211" s="61" t="n"/>
      <c r="Y1211" s="61" t="n"/>
    </row>
    <row r="1212" ht="14.25" customHeight="1" s="86">
      <c r="E1212" s="53" t="inlineStr">
        <is>
          <t>MD</t>
        </is>
      </c>
      <c r="F1212" s="53" t="inlineStr">
        <is>
          <t>PRINCE GEORGES</t>
        </is>
      </c>
      <c r="G1212" s="59" t="n"/>
      <c r="N1212" s="59" t="n"/>
      <c r="O1212" s="59" t="n"/>
      <c r="X1212" s="61" t="n"/>
      <c r="Y1212" s="61" t="n"/>
    </row>
    <row r="1213" ht="14.25" customHeight="1" s="86">
      <c r="E1213" s="53" t="inlineStr">
        <is>
          <t>MD</t>
        </is>
      </c>
      <c r="F1213" s="53" t="inlineStr">
        <is>
          <t>QUEEN ANNES</t>
        </is>
      </c>
      <c r="G1213" s="59" t="n"/>
      <c r="N1213" s="59" t="n"/>
      <c r="O1213" s="59" t="n"/>
      <c r="X1213" s="61" t="n"/>
      <c r="Y1213" s="61" t="n"/>
    </row>
    <row r="1214" ht="14.25" customHeight="1" s="86">
      <c r="E1214" s="53" t="inlineStr">
        <is>
          <t>MD</t>
        </is>
      </c>
      <c r="F1214" s="53" t="inlineStr">
        <is>
          <t>SAINT MARYS</t>
        </is>
      </c>
      <c r="G1214" s="59" t="n"/>
      <c r="N1214" s="59" t="n"/>
      <c r="O1214" s="59" t="n"/>
      <c r="X1214" s="61" t="n"/>
      <c r="Y1214" s="61" t="n"/>
    </row>
    <row r="1215" ht="14.25" customHeight="1" s="86">
      <c r="E1215" s="53" t="inlineStr">
        <is>
          <t>MD</t>
        </is>
      </c>
      <c r="F1215" s="53" t="inlineStr">
        <is>
          <t>SOMERSET</t>
        </is>
      </c>
      <c r="G1215" s="59" t="n"/>
      <c r="N1215" s="59" t="n"/>
      <c r="O1215" s="59" t="n"/>
      <c r="X1215" s="61" t="n"/>
      <c r="Y1215" s="61" t="n"/>
    </row>
    <row r="1216" ht="14.25" customHeight="1" s="86">
      <c r="E1216" s="53" t="inlineStr">
        <is>
          <t>MD</t>
        </is>
      </c>
      <c r="F1216" s="53" t="inlineStr">
        <is>
          <t>TALBOT</t>
        </is>
      </c>
      <c r="G1216" s="59" t="n"/>
      <c r="N1216" s="59" t="n"/>
      <c r="O1216" s="59" t="n"/>
      <c r="X1216" s="61" t="n"/>
      <c r="Y1216" s="61" t="n"/>
    </row>
    <row r="1217" ht="14.25" customHeight="1" s="86">
      <c r="E1217" s="53" t="inlineStr">
        <is>
          <t>MD</t>
        </is>
      </c>
      <c r="F1217" s="53" t="inlineStr">
        <is>
          <t>WASHINGTON</t>
        </is>
      </c>
      <c r="G1217" s="59" t="n"/>
      <c r="N1217" s="59" t="n"/>
      <c r="O1217" s="59" t="n"/>
      <c r="X1217" s="61" t="n"/>
      <c r="Y1217" s="61" t="n"/>
    </row>
    <row r="1218" ht="14.25" customHeight="1" s="86">
      <c r="E1218" s="53" t="inlineStr">
        <is>
          <t>MD</t>
        </is>
      </c>
      <c r="F1218" s="53" t="inlineStr">
        <is>
          <t>WICOMICO</t>
        </is>
      </c>
      <c r="G1218" s="59" t="n"/>
      <c r="N1218" s="59" t="n"/>
      <c r="O1218" s="59" t="n"/>
      <c r="X1218" s="61" t="n"/>
      <c r="Y1218" s="61" t="n"/>
    </row>
    <row r="1219" ht="14.25" customHeight="1" s="86">
      <c r="E1219" s="53" t="inlineStr">
        <is>
          <t>MD</t>
        </is>
      </c>
      <c r="F1219" s="53" t="inlineStr">
        <is>
          <t>WORCESTER</t>
        </is>
      </c>
      <c r="G1219" s="59" t="n"/>
      <c r="N1219" s="59" t="n"/>
      <c r="O1219" s="59" t="n"/>
      <c r="X1219" s="61" t="n"/>
      <c r="Y1219" s="61" t="n"/>
    </row>
    <row r="1220" ht="14.25" customHeight="1" s="86">
      <c r="E1220" s="53" t="inlineStr">
        <is>
          <t>ME</t>
        </is>
      </c>
      <c r="F1220" s="53" t="inlineStr">
        <is>
          <t>ANDROSCOGGIN</t>
        </is>
      </c>
      <c r="G1220" s="59" t="n"/>
      <c r="N1220" s="59" t="n"/>
      <c r="O1220" s="59" t="n"/>
      <c r="X1220" s="61" t="n"/>
      <c r="Y1220" s="61" t="n"/>
    </row>
    <row r="1221" ht="14.25" customHeight="1" s="86">
      <c r="E1221" s="53" t="inlineStr">
        <is>
          <t>ME</t>
        </is>
      </c>
      <c r="F1221" s="53" t="inlineStr">
        <is>
          <t>AROOSTOOK</t>
        </is>
      </c>
      <c r="G1221" s="59" t="n"/>
      <c r="N1221" s="59" t="n"/>
      <c r="O1221" s="59" t="n"/>
      <c r="X1221" s="61" t="n"/>
      <c r="Y1221" s="61" t="n"/>
    </row>
    <row r="1222" ht="14.25" customHeight="1" s="86">
      <c r="E1222" s="53" t="inlineStr">
        <is>
          <t>ME</t>
        </is>
      </c>
      <c r="F1222" s="53" t="inlineStr">
        <is>
          <t>CUMBERLAND</t>
        </is>
      </c>
      <c r="G1222" s="59" t="n"/>
      <c r="N1222" s="59" t="n"/>
      <c r="O1222" s="59" t="n"/>
      <c r="X1222" s="61" t="n"/>
      <c r="Y1222" s="61" t="n"/>
    </row>
    <row r="1223" ht="14.25" customHeight="1" s="86">
      <c r="E1223" s="53" t="inlineStr">
        <is>
          <t>ME</t>
        </is>
      </c>
      <c r="F1223" s="53" t="inlineStr">
        <is>
          <t>FRANKLIN</t>
        </is>
      </c>
      <c r="G1223" s="59" t="n"/>
      <c r="N1223" s="59" t="n"/>
      <c r="O1223" s="59" t="n"/>
      <c r="X1223" s="61" t="n"/>
      <c r="Y1223" s="61" t="n"/>
    </row>
    <row r="1224" ht="14.25" customHeight="1" s="86">
      <c r="E1224" s="53" t="inlineStr">
        <is>
          <t>ME</t>
        </is>
      </c>
      <c r="F1224" s="53" t="inlineStr">
        <is>
          <t>HANCOCK</t>
        </is>
      </c>
      <c r="G1224" s="59" t="n"/>
      <c r="N1224" s="59" t="n"/>
      <c r="O1224" s="59" t="n"/>
      <c r="X1224" s="61" t="n"/>
      <c r="Y1224" s="61" t="n"/>
    </row>
    <row r="1225" ht="14.25" customHeight="1" s="86">
      <c r="E1225" s="53" t="inlineStr">
        <is>
          <t>ME</t>
        </is>
      </c>
      <c r="F1225" s="53" t="inlineStr">
        <is>
          <t>KENNEBEC</t>
        </is>
      </c>
      <c r="G1225" s="59" t="n"/>
      <c r="N1225" s="59" t="n"/>
      <c r="O1225" s="59" t="n"/>
      <c r="X1225" s="61" t="n"/>
      <c r="Y1225" s="61" t="n"/>
    </row>
    <row r="1226" ht="14.25" customHeight="1" s="86">
      <c r="E1226" s="53" t="inlineStr">
        <is>
          <t>ME</t>
        </is>
      </c>
      <c r="F1226" s="53" t="inlineStr">
        <is>
          <t>KNOX</t>
        </is>
      </c>
      <c r="G1226" s="59" t="n"/>
      <c r="N1226" s="59" t="n"/>
      <c r="O1226" s="59" t="n"/>
      <c r="X1226" s="61" t="n"/>
      <c r="Y1226" s="61" t="n"/>
    </row>
    <row r="1227" ht="14.25" customHeight="1" s="86">
      <c r="E1227" s="53" t="inlineStr">
        <is>
          <t>ME</t>
        </is>
      </c>
      <c r="F1227" s="53" t="inlineStr">
        <is>
          <t>LINCOLN</t>
        </is>
      </c>
      <c r="G1227" s="59" t="n"/>
      <c r="N1227" s="59" t="n"/>
      <c r="O1227" s="59" t="n"/>
      <c r="X1227" s="61" t="n"/>
      <c r="Y1227" s="61" t="n"/>
    </row>
    <row r="1228" ht="14.25" customHeight="1" s="86">
      <c r="E1228" s="53" t="inlineStr">
        <is>
          <t>ME</t>
        </is>
      </c>
      <c r="F1228" s="53" t="inlineStr">
        <is>
          <t>OXFORD</t>
        </is>
      </c>
      <c r="G1228" s="59" t="n"/>
      <c r="N1228" s="59" t="n"/>
      <c r="O1228" s="59" t="n"/>
      <c r="X1228" s="61" t="n"/>
      <c r="Y1228" s="61" t="n"/>
    </row>
    <row r="1229" ht="14.25" customHeight="1" s="86">
      <c r="E1229" s="53" t="inlineStr">
        <is>
          <t>ME</t>
        </is>
      </c>
      <c r="F1229" s="53" t="inlineStr">
        <is>
          <t>PENOBSCOT</t>
        </is>
      </c>
      <c r="G1229" s="59" t="n"/>
      <c r="N1229" s="59" t="n"/>
      <c r="O1229" s="59" t="n"/>
      <c r="X1229" s="61" t="n"/>
      <c r="Y1229" s="61" t="n"/>
    </row>
    <row r="1230" ht="14.25" customHeight="1" s="86">
      <c r="E1230" s="53" t="inlineStr">
        <is>
          <t>ME</t>
        </is>
      </c>
      <c r="F1230" s="53" t="inlineStr">
        <is>
          <t>PISCATAQUIS</t>
        </is>
      </c>
      <c r="G1230" s="59" t="n"/>
      <c r="N1230" s="59" t="n"/>
      <c r="O1230" s="59" t="n"/>
      <c r="X1230" s="61" t="n"/>
      <c r="Y1230" s="61" t="n"/>
    </row>
    <row r="1231" ht="14.25" customHeight="1" s="86">
      <c r="E1231" s="53" t="inlineStr">
        <is>
          <t>ME</t>
        </is>
      </c>
      <c r="F1231" s="53" t="inlineStr">
        <is>
          <t>SAGADAHOC</t>
        </is>
      </c>
      <c r="G1231" s="59" t="n"/>
      <c r="N1231" s="59" t="n"/>
      <c r="O1231" s="59" t="n"/>
      <c r="X1231" s="61" t="n"/>
      <c r="Y1231" s="61" t="n"/>
    </row>
    <row r="1232" ht="14.25" customHeight="1" s="86">
      <c r="E1232" s="53" t="inlineStr">
        <is>
          <t>ME</t>
        </is>
      </c>
      <c r="F1232" s="53" t="inlineStr">
        <is>
          <t>SOMERSET</t>
        </is>
      </c>
      <c r="G1232" s="59" t="n"/>
      <c r="N1232" s="59" t="n"/>
      <c r="O1232" s="59" t="n"/>
      <c r="X1232" s="61" t="n"/>
      <c r="Y1232" s="61" t="n"/>
    </row>
    <row r="1233" ht="14.25" customHeight="1" s="86">
      <c r="E1233" s="53" t="inlineStr">
        <is>
          <t>ME</t>
        </is>
      </c>
      <c r="F1233" s="53" t="inlineStr">
        <is>
          <t>WALDO</t>
        </is>
      </c>
      <c r="G1233" s="59" t="n"/>
      <c r="N1233" s="59" t="n"/>
      <c r="O1233" s="59" t="n"/>
      <c r="X1233" s="61" t="n"/>
      <c r="Y1233" s="61" t="n"/>
    </row>
    <row r="1234" ht="14.25" customHeight="1" s="86">
      <c r="E1234" s="53" t="inlineStr">
        <is>
          <t>ME</t>
        </is>
      </c>
      <c r="F1234" s="53" t="inlineStr">
        <is>
          <t>WASHINGTON</t>
        </is>
      </c>
      <c r="G1234" s="59" t="n"/>
      <c r="N1234" s="59" t="n"/>
      <c r="O1234" s="59" t="n"/>
      <c r="X1234" s="61" t="n"/>
      <c r="Y1234" s="61" t="n"/>
    </row>
    <row r="1235" ht="14.25" customHeight="1" s="86">
      <c r="E1235" s="53" t="inlineStr">
        <is>
          <t>ME</t>
        </is>
      </c>
      <c r="F1235" s="53" t="inlineStr">
        <is>
          <t>YORK</t>
        </is>
      </c>
      <c r="G1235" s="59" t="n"/>
      <c r="N1235" s="59" t="n"/>
      <c r="O1235" s="59" t="n"/>
      <c r="X1235" s="61" t="n"/>
      <c r="Y1235" s="61" t="n"/>
    </row>
    <row r="1236" ht="14.25" customHeight="1" s="86">
      <c r="E1236" s="53" t="inlineStr">
        <is>
          <t>MH</t>
        </is>
      </c>
      <c r="F1236" s="53" t="inlineStr">
        <is>
          <t>MARSHALL ISLANDS</t>
        </is>
      </c>
      <c r="G1236" s="59" t="n"/>
      <c r="N1236" s="59" t="n"/>
      <c r="O1236" s="59" t="n"/>
      <c r="X1236" s="61" t="n"/>
      <c r="Y1236" s="61" t="n"/>
    </row>
    <row r="1237" ht="14.25" customHeight="1" s="86">
      <c r="E1237" s="53" t="inlineStr">
        <is>
          <t>MI</t>
        </is>
      </c>
      <c r="F1237" s="53" t="inlineStr">
        <is>
          <t>ALCONA</t>
        </is>
      </c>
      <c r="G1237" s="59" t="n"/>
      <c r="N1237" s="59" t="n"/>
      <c r="O1237" s="59" t="n"/>
      <c r="X1237" s="61" t="n"/>
      <c r="Y1237" s="61" t="n"/>
    </row>
    <row r="1238" ht="14.25" customHeight="1" s="86">
      <c r="E1238" s="53" t="inlineStr">
        <is>
          <t>MI</t>
        </is>
      </c>
      <c r="F1238" s="53" t="inlineStr">
        <is>
          <t>ALGER</t>
        </is>
      </c>
      <c r="G1238" s="59" t="n"/>
      <c r="N1238" s="59" t="n"/>
      <c r="O1238" s="59" t="n"/>
      <c r="X1238" s="61" t="n"/>
      <c r="Y1238" s="61" t="n"/>
    </row>
    <row r="1239" ht="14.25" customHeight="1" s="86">
      <c r="E1239" s="53" t="inlineStr">
        <is>
          <t>MI</t>
        </is>
      </c>
      <c r="F1239" s="53" t="inlineStr">
        <is>
          <t>ALLEGAN</t>
        </is>
      </c>
      <c r="G1239" s="59" t="n"/>
      <c r="N1239" s="59" t="n"/>
      <c r="O1239" s="59" t="n"/>
      <c r="X1239" s="61" t="n"/>
      <c r="Y1239" s="61" t="n"/>
    </row>
    <row r="1240" ht="14.25" customHeight="1" s="86">
      <c r="E1240" s="53" t="inlineStr">
        <is>
          <t>MI</t>
        </is>
      </c>
      <c r="F1240" s="53" t="inlineStr">
        <is>
          <t>ALPENA</t>
        </is>
      </c>
      <c r="G1240" s="59" t="n"/>
      <c r="N1240" s="59" t="n"/>
      <c r="O1240" s="59" t="n"/>
      <c r="X1240" s="61" t="n"/>
      <c r="Y1240" s="61" t="n"/>
    </row>
    <row r="1241" ht="14.25" customHeight="1" s="86">
      <c r="E1241" s="53" t="inlineStr">
        <is>
          <t>MI</t>
        </is>
      </c>
      <c r="F1241" s="53" t="inlineStr">
        <is>
          <t>ANTRIM</t>
        </is>
      </c>
      <c r="G1241" s="59" t="n"/>
      <c r="N1241" s="59" t="n"/>
      <c r="O1241" s="59" t="n"/>
      <c r="X1241" s="61" t="n"/>
      <c r="Y1241" s="61" t="n"/>
    </row>
    <row r="1242" ht="14.25" customHeight="1" s="86">
      <c r="E1242" s="53" t="inlineStr">
        <is>
          <t>MI</t>
        </is>
      </c>
      <c r="F1242" s="53" t="inlineStr">
        <is>
          <t>ARENAC</t>
        </is>
      </c>
      <c r="G1242" s="59" t="n"/>
      <c r="N1242" s="59" t="n"/>
      <c r="O1242" s="59" t="n"/>
      <c r="X1242" s="61" t="n"/>
      <c r="Y1242" s="61" t="n"/>
    </row>
    <row r="1243" ht="14.25" customHeight="1" s="86">
      <c r="E1243" s="53" t="inlineStr">
        <is>
          <t>MI</t>
        </is>
      </c>
      <c r="F1243" s="53" t="inlineStr">
        <is>
          <t>BARAGA</t>
        </is>
      </c>
      <c r="G1243" s="59" t="n"/>
      <c r="N1243" s="59" t="n"/>
      <c r="O1243" s="59" t="n"/>
      <c r="X1243" s="61" t="n"/>
      <c r="Y1243" s="61" t="n"/>
    </row>
    <row r="1244" ht="14.25" customHeight="1" s="86">
      <c r="E1244" s="53" t="inlineStr">
        <is>
          <t>MI</t>
        </is>
      </c>
      <c r="F1244" s="53" t="inlineStr">
        <is>
          <t>BARRY</t>
        </is>
      </c>
      <c r="G1244" s="59" t="n"/>
      <c r="N1244" s="59" t="n"/>
      <c r="O1244" s="59" t="n"/>
      <c r="X1244" s="61" t="n"/>
      <c r="Y1244" s="61" t="n"/>
    </row>
    <row r="1245" ht="14.25" customHeight="1" s="86">
      <c r="E1245" s="53" t="inlineStr">
        <is>
          <t>MI</t>
        </is>
      </c>
      <c r="F1245" s="53" t="inlineStr">
        <is>
          <t>BAY</t>
        </is>
      </c>
      <c r="G1245" s="59" t="n"/>
      <c r="N1245" s="59" t="n"/>
      <c r="O1245" s="59" t="n"/>
      <c r="X1245" s="61" t="n"/>
      <c r="Y1245" s="61" t="n"/>
    </row>
    <row r="1246" ht="14.25" customHeight="1" s="86">
      <c r="E1246" s="53" t="inlineStr">
        <is>
          <t>MI</t>
        </is>
      </c>
      <c r="F1246" s="53" t="inlineStr">
        <is>
          <t>BENZIE</t>
        </is>
      </c>
      <c r="G1246" s="59" t="n"/>
      <c r="N1246" s="59" t="n"/>
      <c r="O1246" s="59" t="n"/>
      <c r="X1246" s="61" t="n"/>
      <c r="Y1246" s="61" t="n"/>
    </row>
    <row r="1247" ht="14.25" customHeight="1" s="86">
      <c r="E1247" s="53" t="inlineStr">
        <is>
          <t>MI</t>
        </is>
      </c>
      <c r="F1247" s="53" t="inlineStr">
        <is>
          <t>BERRIEN</t>
        </is>
      </c>
      <c r="G1247" s="59" t="n"/>
      <c r="N1247" s="59" t="n"/>
      <c r="O1247" s="59" t="n"/>
      <c r="X1247" s="61" t="n"/>
      <c r="Y1247" s="61" t="n"/>
    </row>
    <row r="1248" ht="14.25" customHeight="1" s="86">
      <c r="E1248" s="53" t="inlineStr">
        <is>
          <t>MI</t>
        </is>
      </c>
      <c r="F1248" s="53" t="inlineStr">
        <is>
          <t>BRANCH</t>
        </is>
      </c>
      <c r="G1248" s="59" t="n"/>
      <c r="N1248" s="59" t="n"/>
      <c r="O1248" s="59" t="n"/>
      <c r="X1248" s="61" t="n"/>
      <c r="Y1248" s="61" t="n"/>
    </row>
    <row r="1249" ht="14.25" customHeight="1" s="86">
      <c r="E1249" s="53" t="inlineStr">
        <is>
          <t>MI</t>
        </is>
      </c>
      <c r="F1249" s="53" t="inlineStr">
        <is>
          <t>CALHOUN</t>
        </is>
      </c>
      <c r="G1249" s="59" t="n"/>
      <c r="N1249" s="59" t="n"/>
      <c r="O1249" s="59" t="n"/>
      <c r="X1249" s="61" t="n"/>
      <c r="Y1249" s="61" t="n"/>
    </row>
    <row r="1250" ht="14.25" customHeight="1" s="86">
      <c r="E1250" s="53" t="inlineStr">
        <is>
          <t>MI</t>
        </is>
      </c>
      <c r="F1250" s="53" t="inlineStr">
        <is>
          <t>CASS</t>
        </is>
      </c>
      <c r="G1250" s="59" t="n"/>
      <c r="N1250" s="59" t="n"/>
      <c r="O1250" s="59" t="n"/>
      <c r="X1250" s="61" t="n"/>
      <c r="Y1250" s="61" t="n"/>
    </row>
    <row r="1251" ht="14.25" customHeight="1" s="86">
      <c r="E1251" s="53" t="inlineStr">
        <is>
          <t>MI</t>
        </is>
      </c>
      <c r="F1251" s="53" t="inlineStr">
        <is>
          <t>CHARLEVOIX</t>
        </is>
      </c>
      <c r="G1251" s="59" t="n"/>
      <c r="N1251" s="59" t="n"/>
      <c r="O1251" s="59" t="n"/>
      <c r="X1251" s="61" t="n"/>
      <c r="Y1251" s="61" t="n"/>
    </row>
    <row r="1252" ht="14.25" customHeight="1" s="86">
      <c r="E1252" s="53" t="inlineStr">
        <is>
          <t>MI</t>
        </is>
      </c>
      <c r="F1252" s="53" t="inlineStr">
        <is>
          <t>CHEBOYGAN</t>
        </is>
      </c>
      <c r="G1252" s="59" t="n"/>
      <c r="N1252" s="59" t="n"/>
      <c r="O1252" s="59" t="n"/>
      <c r="X1252" s="61" t="n"/>
      <c r="Y1252" s="61" t="n"/>
    </row>
    <row r="1253" ht="14.25" customHeight="1" s="86">
      <c r="E1253" s="53" t="inlineStr">
        <is>
          <t>MI</t>
        </is>
      </c>
      <c r="F1253" s="53" t="inlineStr">
        <is>
          <t>CHIPPEWA</t>
        </is>
      </c>
      <c r="G1253" s="59" t="n"/>
      <c r="N1253" s="59" t="n"/>
      <c r="O1253" s="59" t="n"/>
      <c r="X1253" s="61" t="n"/>
      <c r="Y1253" s="61" t="n"/>
    </row>
    <row r="1254" ht="14.25" customHeight="1" s="86">
      <c r="E1254" s="53" t="inlineStr">
        <is>
          <t>MI</t>
        </is>
      </c>
      <c r="F1254" s="53" t="inlineStr">
        <is>
          <t>CLARE</t>
        </is>
      </c>
      <c r="G1254" s="59" t="n"/>
      <c r="N1254" s="59" t="n"/>
      <c r="O1254" s="59" t="n"/>
      <c r="X1254" s="61" t="n"/>
      <c r="Y1254" s="61" t="n"/>
    </row>
    <row r="1255" ht="14.25" customHeight="1" s="86">
      <c r="E1255" s="53" t="inlineStr">
        <is>
          <t>MI</t>
        </is>
      </c>
      <c r="F1255" s="53" t="inlineStr">
        <is>
          <t>CLINTON</t>
        </is>
      </c>
      <c r="G1255" s="59" t="n"/>
      <c r="N1255" s="59" t="n"/>
      <c r="O1255" s="59" t="n"/>
      <c r="X1255" s="61" t="n"/>
      <c r="Y1255" s="61" t="n"/>
    </row>
    <row r="1256" ht="14.25" customHeight="1" s="86">
      <c r="E1256" s="53" t="inlineStr">
        <is>
          <t>MI</t>
        </is>
      </c>
      <c r="F1256" s="53" t="inlineStr">
        <is>
          <t>CRAWFORD</t>
        </is>
      </c>
      <c r="G1256" s="59" t="n"/>
      <c r="N1256" s="59" t="n"/>
      <c r="O1256" s="59" t="n"/>
      <c r="X1256" s="61" t="n"/>
      <c r="Y1256" s="61" t="n"/>
    </row>
    <row r="1257" ht="14.25" customHeight="1" s="86">
      <c r="E1257" s="53" t="inlineStr">
        <is>
          <t>MI</t>
        </is>
      </c>
      <c r="F1257" s="53" t="inlineStr">
        <is>
          <t>DELTA</t>
        </is>
      </c>
      <c r="G1257" s="59" t="n"/>
      <c r="N1257" s="59" t="n"/>
      <c r="O1257" s="59" t="n"/>
      <c r="X1257" s="61" t="n"/>
      <c r="Y1257" s="61" t="n"/>
    </row>
    <row r="1258" ht="14.25" customHeight="1" s="86">
      <c r="E1258" s="53" t="inlineStr">
        <is>
          <t>MI</t>
        </is>
      </c>
      <c r="F1258" s="53" t="inlineStr">
        <is>
          <t>DICKINSON</t>
        </is>
      </c>
      <c r="G1258" s="59" t="n"/>
      <c r="N1258" s="59" t="n"/>
      <c r="O1258" s="59" t="n"/>
      <c r="X1258" s="61" t="n"/>
      <c r="Y1258" s="61" t="n"/>
    </row>
    <row r="1259" ht="14.25" customHeight="1" s="86">
      <c r="E1259" s="53" t="inlineStr">
        <is>
          <t>MI</t>
        </is>
      </c>
      <c r="F1259" s="53" t="inlineStr">
        <is>
          <t>EATON</t>
        </is>
      </c>
      <c r="G1259" s="59" t="n"/>
      <c r="N1259" s="59" t="n"/>
      <c r="O1259" s="59" t="n"/>
      <c r="X1259" s="61" t="n"/>
      <c r="Y1259" s="61" t="n"/>
    </row>
    <row r="1260" ht="14.25" customHeight="1" s="86">
      <c r="E1260" s="53" t="inlineStr">
        <is>
          <t>MI</t>
        </is>
      </c>
      <c r="F1260" s="53" t="inlineStr">
        <is>
          <t>EMMET</t>
        </is>
      </c>
      <c r="G1260" s="59" t="n"/>
      <c r="N1260" s="59" t="n"/>
      <c r="O1260" s="59" t="n"/>
      <c r="X1260" s="61" t="n"/>
      <c r="Y1260" s="61" t="n"/>
    </row>
    <row r="1261" ht="14.25" customHeight="1" s="86">
      <c r="E1261" s="53" t="inlineStr">
        <is>
          <t>MI</t>
        </is>
      </c>
      <c r="F1261" s="53" t="inlineStr">
        <is>
          <t>GENESEE</t>
        </is>
      </c>
      <c r="G1261" s="59" t="n"/>
      <c r="N1261" s="59" t="n"/>
      <c r="O1261" s="59" t="n"/>
      <c r="X1261" s="61" t="n"/>
      <c r="Y1261" s="61" t="n"/>
    </row>
    <row r="1262" ht="14.25" customHeight="1" s="86">
      <c r="E1262" s="53" t="inlineStr">
        <is>
          <t>MI</t>
        </is>
      </c>
      <c r="F1262" s="53" t="inlineStr">
        <is>
          <t>GLADWIN</t>
        </is>
      </c>
      <c r="G1262" s="59" t="n"/>
      <c r="N1262" s="59" t="n"/>
      <c r="O1262" s="59" t="n"/>
      <c r="X1262" s="61" t="n"/>
      <c r="Y1262" s="61" t="n"/>
    </row>
    <row r="1263" ht="14.25" customHeight="1" s="86">
      <c r="E1263" s="53" t="inlineStr">
        <is>
          <t>MI</t>
        </is>
      </c>
      <c r="F1263" s="53" t="inlineStr">
        <is>
          <t>GOGEBIC</t>
        </is>
      </c>
      <c r="G1263" s="59" t="n"/>
      <c r="N1263" s="59" t="n"/>
      <c r="O1263" s="59" t="n"/>
      <c r="X1263" s="61" t="n"/>
      <c r="Y1263" s="61" t="n"/>
    </row>
    <row r="1264" ht="14.25" customHeight="1" s="86">
      <c r="E1264" s="53" t="inlineStr">
        <is>
          <t>MI</t>
        </is>
      </c>
      <c r="F1264" s="53" t="inlineStr">
        <is>
          <t>GRAND TRAVERSE</t>
        </is>
      </c>
      <c r="G1264" s="59" t="n"/>
      <c r="N1264" s="59" t="n"/>
      <c r="O1264" s="59" t="n"/>
      <c r="X1264" s="61" t="n"/>
      <c r="Y1264" s="61" t="n"/>
    </row>
    <row r="1265" ht="14.25" customHeight="1" s="86">
      <c r="E1265" s="53" t="inlineStr">
        <is>
          <t>MI</t>
        </is>
      </c>
      <c r="F1265" s="53" t="inlineStr">
        <is>
          <t>GRATIOT</t>
        </is>
      </c>
      <c r="G1265" s="59" t="n"/>
      <c r="N1265" s="59" t="n"/>
      <c r="O1265" s="59" t="n"/>
      <c r="X1265" s="61" t="n"/>
      <c r="Y1265" s="61" t="n"/>
    </row>
    <row r="1266" ht="14.25" customHeight="1" s="86">
      <c r="E1266" s="53" t="inlineStr">
        <is>
          <t>MI</t>
        </is>
      </c>
      <c r="F1266" s="53" t="inlineStr">
        <is>
          <t>HILLSDALE</t>
        </is>
      </c>
      <c r="G1266" s="59" t="n"/>
      <c r="N1266" s="59" t="n"/>
      <c r="O1266" s="59" t="n"/>
      <c r="X1266" s="61" t="n"/>
      <c r="Y1266" s="61" t="n"/>
    </row>
    <row r="1267" ht="14.25" customHeight="1" s="86">
      <c r="E1267" s="53" t="inlineStr">
        <is>
          <t>MI</t>
        </is>
      </c>
      <c r="F1267" s="53" t="inlineStr">
        <is>
          <t>HOUGHTON</t>
        </is>
      </c>
      <c r="G1267" s="59" t="n"/>
      <c r="N1267" s="59" t="n"/>
      <c r="O1267" s="59" t="n"/>
      <c r="X1267" s="61" t="n"/>
      <c r="Y1267" s="61" t="n"/>
    </row>
    <row r="1268" ht="14.25" customHeight="1" s="86">
      <c r="E1268" s="53" t="inlineStr">
        <is>
          <t>MI</t>
        </is>
      </c>
      <c r="F1268" s="53" t="inlineStr">
        <is>
          <t>HURON</t>
        </is>
      </c>
      <c r="G1268" s="59" t="n"/>
      <c r="N1268" s="59" t="n"/>
      <c r="O1268" s="59" t="n"/>
      <c r="X1268" s="61" t="n"/>
      <c r="Y1268" s="61" t="n"/>
    </row>
    <row r="1269" ht="14.25" customHeight="1" s="86">
      <c r="E1269" s="53" t="inlineStr">
        <is>
          <t>MI</t>
        </is>
      </c>
      <c r="F1269" s="53" t="inlineStr">
        <is>
          <t>INGHAM</t>
        </is>
      </c>
      <c r="G1269" s="59" t="n"/>
      <c r="N1269" s="59" t="n"/>
      <c r="O1269" s="59" t="n"/>
      <c r="X1269" s="61" t="n"/>
      <c r="Y1269" s="61" t="n"/>
    </row>
    <row r="1270" ht="14.25" customHeight="1" s="86">
      <c r="E1270" s="53" t="inlineStr">
        <is>
          <t>MI</t>
        </is>
      </c>
      <c r="F1270" s="53" t="inlineStr">
        <is>
          <t>IONIA</t>
        </is>
      </c>
      <c r="G1270" s="59" t="n"/>
      <c r="N1270" s="59" t="n"/>
      <c r="O1270" s="59" t="n"/>
      <c r="X1270" s="61" t="n"/>
      <c r="Y1270" s="61" t="n"/>
    </row>
    <row r="1271" ht="14.25" customHeight="1" s="86">
      <c r="E1271" s="53" t="inlineStr">
        <is>
          <t>MI</t>
        </is>
      </c>
      <c r="F1271" s="53" t="inlineStr">
        <is>
          <t>IOSCO</t>
        </is>
      </c>
      <c r="G1271" s="59" t="n"/>
      <c r="N1271" s="59" t="n"/>
      <c r="O1271" s="59" t="n"/>
      <c r="X1271" s="61" t="n"/>
      <c r="Y1271" s="61" t="n"/>
    </row>
    <row r="1272" ht="14.25" customHeight="1" s="86">
      <c r="E1272" s="53" t="inlineStr">
        <is>
          <t>MI</t>
        </is>
      </c>
      <c r="F1272" s="53" t="inlineStr">
        <is>
          <t>IRON</t>
        </is>
      </c>
      <c r="G1272" s="59" t="n"/>
      <c r="N1272" s="59" t="n"/>
      <c r="O1272" s="59" t="n"/>
      <c r="X1272" s="61" t="n"/>
      <c r="Y1272" s="61" t="n"/>
    </row>
    <row r="1273" ht="14.25" customHeight="1" s="86">
      <c r="E1273" s="53" t="inlineStr">
        <is>
          <t>MI</t>
        </is>
      </c>
      <c r="F1273" s="53" t="inlineStr">
        <is>
          <t>ISABELLA</t>
        </is>
      </c>
      <c r="G1273" s="59" t="n"/>
      <c r="N1273" s="59" t="n"/>
      <c r="O1273" s="59" t="n"/>
      <c r="X1273" s="61" t="n"/>
      <c r="Y1273" s="61" t="n"/>
    </row>
    <row r="1274" ht="14.25" customHeight="1" s="86">
      <c r="E1274" s="53" t="inlineStr">
        <is>
          <t>MI</t>
        </is>
      </c>
      <c r="F1274" s="53" t="inlineStr">
        <is>
          <t>JACKSON</t>
        </is>
      </c>
      <c r="G1274" s="59" t="n"/>
      <c r="N1274" s="59" t="n"/>
      <c r="O1274" s="59" t="n"/>
      <c r="X1274" s="61" t="n"/>
      <c r="Y1274" s="61" t="n"/>
    </row>
    <row r="1275" ht="14.25" customHeight="1" s="86">
      <c r="E1275" s="53" t="inlineStr">
        <is>
          <t>MI</t>
        </is>
      </c>
      <c r="F1275" s="53" t="inlineStr">
        <is>
          <t>KALAMAZOO</t>
        </is>
      </c>
      <c r="G1275" s="59" t="n"/>
      <c r="N1275" s="59" t="n"/>
      <c r="O1275" s="59" t="n"/>
      <c r="X1275" s="61" t="n"/>
      <c r="Y1275" s="61" t="n"/>
    </row>
    <row r="1276" ht="14.25" customHeight="1" s="86">
      <c r="E1276" s="53" t="inlineStr">
        <is>
          <t>MI</t>
        </is>
      </c>
      <c r="F1276" s="53" t="inlineStr">
        <is>
          <t>KALKASKA</t>
        </is>
      </c>
      <c r="G1276" s="59" t="n"/>
      <c r="N1276" s="59" t="n"/>
      <c r="O1276" s="59" t="n"/>
      <c r="X1276" s="61" t="n"/>
      <c r="Y1276" s="61" t="n"/>
    </row>
    <row r="1277" ht="14.25" customHeight="1" s="86">
      <c r="E1277" s="53" t="inlineStr">
        <is>
          <t>MI</t>
        </is>
      </c>
      <c r="F1277" s="53" t="inlineStr">
        <is>
          <t>KENT</t>
        </is>
      </c>
      <c r="G1277" s="59" t="n"/>
      <c r="N1277" s="59" t="n"/>
      <c r="O1277" s="59" t="n"/>
      <c r="X1277" s="61" t="n"/>
      <c r="Y1277" s="61" t="n"/>
    </row>
    <row r="1278" ht="14.25" customHeight="1" s="86">
      <c r="E1278" s="53" t="inlineStr">
        <is>
          <t>MI</t>
        </is>
      </c>
      <c r="F1278" s="53" t="inlineStr">
        <is>
          <t>KEWEENAW</t>
        </is>
      </c>
      <c r="G1278" s="59" t="n"/>
      <c r="N1278" s="59" t="n"/>
      <c r="O1278" s="59" t="n"/>
      <c r="X1278" s="61" t="n"/>
      <c r="Y1278" s="61" t="n"/>
    </row>
    <row r="1279" ht="14.25" customHeight="1" s="86">
      <c r="E1279" s="53" t="inlineStr">
        <is>
          <t>MI</t>
        </is>
      </c>
      <c r="F1279" s="53" t="inlineStr">
        <is>
          <t>LAKE</t>
        </is>
      </c>
      <c r="G1279" s="59" t="n"/>
      <c r="N1279" s="59" t="n"/>
      <c r="O1279" s="59" t="n"/>
      <c r="X1279" s="61" t="n"/>
      <c r="Y1279" s="61" t="n"/>
    </row>
    <row r="1280" ht="14.25" customHeight="1" s="86">
      <c r="E1280" s="53" t="inlineStr">
        <is>
          <t>MI</t>
        </is>
      </c>
      <c r="F1280" s="53" t="inlineStr">
        <is>
          <t>LAPEER</t>
        </is>
      </c>
      <c r="G1280" s="59" t="n"/>
      <c r="N1280" s="59" t="n"/>
      <c r="O1280" s="59" t="n"/>
      <c r="X1280" s="61" t="n"/>
      <c r="Y1280" s="61" t="n"/>
    </row>
    <row r="1281" ht="14.25" customHeight="1" s="86">
      <c r="E1281" s="53" t="inlineStr">
        <is>
          <t>MI</t>
        </is>
      </c>
      <c r="F1281" s="53" t="inlineStr">
        <is>
          <t>LEELANAU</t>
        </is>
      </c>
      <c r="G1281" s="59" t="n"/>
      <c r="N1281" s="59" t="n"/>
      <c r="O1281" s="59" t="n"/>
      <c r="X1281" s="61" t="n"/>
      <c r="Y1281" s="61" t="n"/>
    </row>
    <row r="1282" ht="14.25" customHeight="1" s="86">
      <c r="E1282" s="53" t="inlineStr">
        <is>
          <t>MI</t>
        </is>
      </c>
      <c r="F1282" s="53" t="inlineStr">
        <is>
          <t>LENAWEE</t>
        </is>
      </c>
      <c r="G1282" s="59" t="n"/>
      <c r="N1282" s="59" t="n"/>
      <c r="O1282" s="59" t="n"/>
      <c r="X1282" s="61" t="n"/>
      <c r="Y1282" s="61" t="n"/>
    </row>
    <row r="1283" ht="14.25" customHeight="1" s="86">
      <c r="E1283" s="53" t="inlineStr">
        <is>
          <t>MI</t>
        </is>
      </c>
      <c r="F1283" s="53" t="inlineStr">
        <is>
          <t>LIVINGSTON</t>
        </is>
      </c>
      <c r="G1283" s="59" t="n"/>
      <c r="N1283" s="59" t="n"/>
      <c r="O1283" s="59" t="n"/>
      <c r="X1283" s="61" t="n"/>
      <c r="Y1283" s="61" t="n"/>
    </row>
    <row r="1284" ht="14.25" customHeight="1" s="86">
      <c r="E1284" s="53" t="inlineStr">
        <is>
          <t>MI</t>
        </is>
      </c>
      <c r="F1284" s="53" t="inlineStr">
        <is>
          <t>LUCE</t>
        </is>
      </c>
      <c r="G1284" s="59" t="n"/>
      <c r="N1284" s="59" t="n"/>
      <c r="O1284" s="59" t="n"/>
      <c r="X1284" s="61" t="n"/>
      <c r="Y1284" s="61" t="n"/>
    </row>
    <row r="1285" ht="14.25" customHeight="1" s="86">
      <c r="E1285" s="53" t="inlineStr">
        <is>
          <t>MI</t>
        </is>
      </c>
      <c r="F1285" s="53" t="inlineStr">
        <is>
          <t>MACKINAC</t>
        </is>
      </c>
      <c r="G1285" s="59" t="n"/>
      <c r="N1285" s="59" t="n"/>
      <c r="O1285" s="59" t="n"/>
      <c r="X1285" s="61" t="n"/>
      <c r="Y1285" s="61" t="n"/>
    </row>
    <row r="1286" ht="14.25" customHeight="1" s="86">
      <c r="E1286" s="53" t="inlineStr">
        <is>
          <t>MI</t>
        </is>
      </c>
      <c r="F1286" s="53" t="inlineStr">
        <is>
          <t>MACOMB</t>
        </is>
      </c>
      <c r="G1286" s="59" t="n"/>
      <c r="N1286" s="59" t="n"/>
      <c r="O1286" s="59" t="n"/>
      <c r="X1286" s="61" t="n"/>
      <c r="Y1286" s="61" t="n"/>
    </row>
    <row r="1287" ht="14.25" customHeight="1" s="86">
      <c r="E1287" s="53" t="inlineStr">
        <is>
          <t>MI</t>
        </is>
      </c>
      <c r="F1287" s="53" t="inlineStr">
        <is>
          <t>MANISTEE</t>
        </is>
      </c>
      <c r="G1287" s="59" t="n"/>
      <c r="N1287" s="59" t="n"/>
      <c r="O1287" s="59" t="n"/>
      <c r="X1287" s="61" t="n"/>
      <c r="Y1287" s="61" t="n"/>
    </row>
    <row r="1288" ht="14.25" customHeight="1" s="86">
      <c r="E1288" s="53" t="inlineStr">
        <is>
          <t>MI</t>
        </is>
      </c>
      <c r="F1288" s="53" t="inlineStr">
        <is>
          <t>MARQUETTE</t>
        </is>
      </c>
      <c r="G1288" s="59" t="n"/>
      <c r="N1288" s="59" t="n"/>
      <c r="O1288" s="59" t="n"/>
      <c r="X1288" s="61" t="n"/>
      <c r="Y1288" s="61" t="n"/>
    </row>
    <row r="1289" ht="14.25" customHeight="1" s="86">
      <c r="E1289" s="53" t="inlineStr">
        <is>
          <t>MI</t>
        </is>
      </c>
      <c r="F1289" s="53" t="inlineStr">
        <is>
          <t>MASON</t>
        </is>
      </c>
      <c r="G1289" s="59" t="n"/>
      <c r="N1289" s="59" t="n"/>
      <c r="O1289" s="59" t="n"/>
      <c r="X1289" s="61" t="n"/>
      <c r="Y1289" s="61" t="n"/>
    </row>
    <row r="1290" ht="14.25" customHeight="1" s="86">
      <c r="E1290" s="53" t="inlineStr">
        <is>
          <t>MI</t>
        </is>
      </c>
      <c r="F1290" s="53" t="inlineStr">
        <is>
          <t>MECOSTA</t>
        </is>
      </c>
      <c r="G1290" s="59" t="n"/>
      <c r="N1290" s="59" t="n"/>
      <c r="O1290" s="59" t="n"/>
      <c r="X1290" s="61" t="n"/>
      <c r="Y1290" s="61" t="n"/>
    </row>
    <row r="1291" ht="14.25" customHeight="1" s="86">
      <c r="E1291" s="53" t="inlineStr">
        <is>
          <t>MI</t>
        </is>
      </c>
      <c r="F1291" s="53" t="inlineStr">
        <is>
          <t>MENOMINEE</t>
        </is>
      </c>
      <c r="G1291" s="59" t="n"/>
      <c r="N1291" s="59" t="n"/>
      <c r="O1291" s="59" t="n"/>
      <c r="X1291" s="61" t="n"/>
      <c r="Y1291" s="61" t="n"/>
    </row>
    <row r="1292" ht="14.25" customHeight="1" s="86">
      <c r="E1292" s="53" t="inlineStr">
        <is>
          <t>MI</t>
        </is>
      </c>
      <c r="F1292" s="53" t="inlineStr">
        <is>
          <t>MIDLAND</t>
        </is>
      </c>
      <c r="G1292" s="59" t="n"/>
      <c r="N1292" s="59" t="n"/>
      <c r="O1292" s="59" t="n"/>
      <c r="X1292" s="61" t="n"/>
      <c r="Y1292" s="61" t="n"/>
    </row>
    <row r="1293" ht="14.25" customHeight="1" s="86">
      <c r="E1293" s="53" t="inlineStr">
        <is>
          <t>MI</t>
        </is>
      </c>
      <c r="F1293" s="53" t="inlineStr">
        <is>
          <t>MISSAUKEE</t>
        </is>
      </c>
      <c r="G1293" s="59" t="n"/>
      <c r="N1293" s="59" t="n"/>
      <c r="O1293" s="59" t="n"/>
      <c r="X1293" s="61" t="n"/>
      <c r="Y1293" s="61" t="n"/>
    </row>
    <row r="1294" ht="14.25" customHeight="1" s="86">
      <c r="E1294" s="53" t="inlineStr">
        <is>
          <t>MI</t>
        </is>
      </c>
      <c r="F1294" s="53" t="inlineStr">
        <is>
          <t>MONROE</t>
        </is>
      </c>
      <c r="G1294" s="59" t="n"/>
      <c r="N1294" s="59" t="n"/>
      <c r="O1294" s="59" t="n"/>
      <c r="X1294" s="61" t="n"/>
      <c r="Y1294" s="61" t="n"/>
    </row>
    <row r="1295" ht="14.25" customHeight="1" s="86">
      <c r="E1295" s="53" t="inlineStr">
        <is>
          <t>MI</t>
        </is>
      </c>
      <c r="F1295" s="53" t="inlineStr">
        <is>
          <t>MONTCALM</t>
        </is>
      </c>
      <c r="G1295" s="59" t="n"/>
      <c r="N1295" s="59" t="n"/>
      <c r="O1295" s="59" t="n"/>
      <c r="X1295" s="61" t="n"/>
      <c r="Y1295" s="61" t="n"/>
    </row>
    <row r="1296" ht="14.25" customHeight="1" s="86">
      <c r="E1296" s="53" t="inlineStr">
        <is>
          <t>MI</t>
        </is>
      </c>
      <c r="F1296" s="53" t="inlineStr">
        <is>
          <t>MONTMORENCY</t>
        </is>
      </c>
      <c r="G1296" s="59" t="n"/>
      <c r="N1296" s="59" t="n"/>
      <c r="O1296" s="59" t="n"/>
      <c r="X1296" s="61" t="n"/>
      <c r="Y1296" s="61" t="n"/>
    </row>
    <row r="1297" ht="14.25" customHeight="1" s="86">
      <c r="E1297" s="53" t="inlineStr">
        <is>
          <t>MI</t>
        </is>
      </c>
      <c r="F1297" s="53" t="inlineStr">
        <is>
          <t>MUSKEGON</t>
        </is>
      </c>
      <c r="G1297" s="59" t="n"/>
      <c r="N1297" s="59" t="n"/>
      <c r="O1297" s="59" t="n"/>
      <c r="X1297" s="61" t="n"/>
      <c r="Y1297" s="61" t="n"/>
    </row>
    <row r="1298" ht="14.25" customHeight="1" s="86">
      <c r="E1298" s="53" t="inlineStr">
        <is>
          <t>MI</t>
        </is>
      </c>
      <c r="F1298" s="53" t="inlineStr">
        <is>
          <t>NEWAYGO</t>
        </is>
      </c>
      <c r="G1298" s="59" t="n"/>
      <c r="N1298" s="59" t="n"/>
      <c r="O1298" s="59" t="n"/>
      <c r="X1298" s="61" t="n"/>
      <c r="Y1298" s="61" t="n"/>
    </row>
    <row r="1299" ht="14.25" customHeight="1" s="86">
      <c r="E1299" s="53" t="inlineStr">
        <is>
          <t>MI</t>
        </is>
      </c>
      <c r="F1299" s="53" t="inlineStr">
        <is>
          <t>OAKLAND</t>
        </is>
      </c>
      <c r="G1299" s="59" t="n"/>
      <c r="N1299" s="59" t="n"/>
      <c r="O1299" s="59" t="n"/>
      <c r="X1299" s="61" t="n"/>
      <c r="Y1299" s="61" t="n"/>
    </row>
    <row r="1300" ht="14.25" customHeight="1" s="86">
      <c r="E1300" s="53" t="inlineStr">
        <is>
          <t>MI</t>
        </is>
      </c>
      <c r="F1300" s="53" t="inlineStr">
        <is>
          <t>OCEANA</t>
        </is>
      </c>
      <c r="G1300" s="59" t="n"/>
      <c r="N1300" s="59" t="n"/>
      <c r="O1300" s="59" t="n"/>
      <c r="X1300" s="61" t="n"/>
      <c r="Y1300" s="61" t="n"/>
    </row>
    <row r="1301" ht="14.25" customHeight="1" s="86">
      <c r="E1301" s="53" t="inlineStr">
        <is>
          <t>MI</t>
        </is>
      </c>
      <c r="F1301" s="53" t="inlineStr">
        <is>
          <t>OGEMAW</t>
        </is>
      </c>
      <c r="G1301" s="59" t="n"/>
      <c r="N1301" s="59" t="n"/>
      <c r="O1301" s="59" t="n"/>
      <c r="X1301" s="61" t="n"/>
      <c r="Y1301" s="61" t="n"/>
    </row>
    <row r="1302" ht="14.25" customHeight="1" s="86">
      <c r="E1302" s="53" t="inlineStr">
        <is>
          <t>MI</t>
        </is>
      </c>
      <c r="F1302" s="53" t="inlineStr">
        <is>
          <t>ONTONAGON</t>
        </is>
      </c>
      <c r="G1302" s="59" t="n"/>
      <c r="N1302" s="59" t="n"/>
      <c r="O1302" s="59" t="n"/>
      <c r="X1302" s="61" t="n"/>
      <c r="Y1302" s="61" t="n"/>
    </row>
    <row r="1303" ht="14.25" customHeight="1" s="86">
      <c r="E1303" s="53" t="inlineStr">
        <is>
          <t>MI</t>
        </is>
      </c>
      <c r="F1303" s="53" t="inlineStr">
        <is>
          <t>OSCEOLA</t>
        </is>
      </c>
      <c r="G1303" s="59" t="n"/>
      <c r="N1303" s="59" t="n"/>
      <c r="O1303" s="59" t="n"/>
      <c r="X1303" s="61" t="n"/>
      <c r="Y1303" s="61" t="n"/>
    </row>
    <row r="1304" ht="14.25" customHeight="1" s="86">
      <c r="E1304" s="53" t="inlineStr">
        <is>
          <t>MI</t>
        </is>
      </c>
      <c r="F1304" s="53" t="inlineStr">
        <is>
          <t>OSCODA</t>
        </is>
      </c>
      <c r="G1304" s="59" t="n"/>
      <c r="N1304" s="59" t="n"/>
      <c r="O1304" s="59" t="n"/>
      <c r="X1304" s="61" t="n"/>
      <c r="Y1304" s="61" t="n"/>
    </row>
    <row r="1305" ht="14.25" customHeight="1" s="86">
      <c r="E1305" s="53" t="inlineStr">
        <is>
          <t>MI</t>
        </is>
      </c>
      <c r="F1305" s="53" t="inlineStr">
        <is>
          <t>OTSEGO</t>
        </is>
      </c>
      <c r="G1305" s="59" t="n"/>
      <c r="N1305" s="59" t="n"/>
      <c r="O1305" s="59" t="n"/>
      <c r="X1305" s="61" t="n"/>
      <c r="Y1305" s="61" t="n"/>
    </row>
    <row r="1306" ht="14.25" customHeight="1" s="86">
      <c r="E1306" s="53" t="inlineStr">
        <is>
          <t>MI</t>
        </is>
      </c>
      <c r="F1306" s="53" t="inlineStr">
        <is>
          <t>OTTAWA</t>
        </is>
      </c>
      <c r="G1306" s="59" t="n"/>
      <c r="N1306" s="59" t="n"/>
      <c r="O1306" s="59" t="n"/>
      <c r="X1306" s="61" t="n"/>
      <c r="Y1306" s="61" t="n"/>
    </row>
    <row r="1307" ht="14.25" customHeight="1" s="86">
      <c r="E1307" s="53" t="inlineStr">
        <is>
          <t>MI</t>
        </is>
      </c>
      <c r="F1307" s="53" t="inlineStr">
        <is>
          <t>PRESQUE ISLE</t>
        </is>
      </c>
      <c r="G1307" s="59" t="n"/>
      <c r="N1307" s="59" t="n"/>
      <c r="O1307" s="59" t="n"/>
      <c r="X1307" s="61" t="n"/>
      <c r="Y1307" s="61" t="n"/>
    </row>
    <row r="1308" ht="14.25" customHeight="1" s="86">
      <c r="E1308" s="53" t="inlineStr">
        <is>
          <t>MI</t>
        </is>
      </c>
      <c r="F1308" s="53" t="inlineStr">
        <is>
          <t>ROSCOMMON</t>
        </is>
      </c>
      <c r="G1308" s="59" t="n"/>
      <c r="N1308" s="59" t="n"/>
      <c r="O1308" s="59" t="n"/>
      <c r="X1308" s="61" t="n"/>
      <c r="Y1308" s="61" t="n"/>
    </row>
    <row r="1309" ht="14.25" customHeight="1" s="86">
      <c r="E1309" s="53" t="inlineStr">
        <is>
          <t>MI</t>
        </is>
      </c>
      <c r="F1309" s="53" t="inlineStr">
        <is>
          <t>SAGINAW</t>
        </is>
      </c>
      <c r="G1309" s="59" t="n"/>
      <c r="N1309" s="59" t="n"/>
      <c r="O1309" s="59" t="n"/>
      <c r="X1309" s="61" t="n"/>
      <c r="Y1309" s="61" t="n"/>
    </row>
    <row r="1310" ht="14.25" customHeight="1" s="86">
      <c r="E1310" s="53" t="inlineStr">
        <is>
          <t>MI</t>
        </is>
      </c>
      <c r="F1310" s="53" t="inlineStr">
        <is>
          <t>SAINT CLAIR</t>
        </is>
      </c>
      <c r="G1310" s="59" t="n"/>
      <c r="N1310" s="59" t="n"/>
      <c r="O1310" s="59" t="n"/>
      <c r="X1310" s="61" t="n"/>
      <c r="Y1310" s="61" t="n"/>
    </row>
    <row r="1311" ht="14.25" customHeight="1" s="86">
      <c r="E1311" s="53" t="inlineStr">
        <is>
          <t>MI</t>
        </is>
      </c>
      <c r="F1311" s="53" t="inlineStr">
        <is>
          <t>SAINT JOSEPH</t>
        </is>
      </c>
      <c r="G1311" s="59" t="n"/>
      <c r="N1311" s="59" t="n"/>
      <c r="O1311" s="59" t="n"/>
      <c r="X1311" s="61" t="n"/>
      <c r="Y1311" s="61" t="n"/>
    </row>
    <row r="1312" ht="14.25" customHeight="1" s="86">
      <c r="E1312" s="53" t="inlineStr">
        <is>
          <t>MI</t>
        </is>
      </c>
      <c r="F1312" s="53" t="inlineStr">
        <is>
          <t>SANILAC</t>
        </is>
      </c>
      <c r="G1312" s="59" t="n"/>
      <c r="N1312" s="59" t="n"/>
      <c r="O1312" s="59" t="n"/>
      <c r="X1312" s="61" t="n"/>
      <c r="Y1312" s="61" t="n"/>
    </row>
    <row r="1313" ht="14.25" customHeight="1" s="86">
      <c r="E1313" s="53" t="inlineStr">
        <is>
          <t>MI</t>
        </is>
      </c>
      <c r="F1313" s="53" t="inlineStr">
        <is>
          <t>SCHOOLCRAFT</t>
        </is>
      </c>
      <c r="G1313" s="59" t="n"/>
      <c r="N1313" s="59" t="n"/>
      <c r="O1313" s="59" t="n"/>
      <c r="X1313" s="61" t="n"/>
      <c r="Y1313" s="61" t="n"/>
    </row>
    <row r="1314" ht="14.25" customHeight="1" s="86">
      <c r="E1314" s="53" t="inlineStr">
        <is>
          <t>MI</t>
        </is>
      </c>
      <c r="F1314" s="53" t="inlineStr">
        <is>
          <t>SHIAWASSEE</t>
        </is>
      </c>
      <c r="G1314" s="59" t="n"/>
      <c r="N1314" s="59" t="n"/>
      <c r="O1314" s="59" t="n"/>
      <c r="X1314" s="61" t="n"/>
      <c r="Y1314" s="61" t="n"/>
    </row>
    <row r="1315" ht="14.25" customHeight="1" s="86">
      <c r="E1315" s="53" t="inlineStr">
        <is>
          <t>MI</t>
        </is>
      </c>
      <c r="F1315" s="53" t="inlineStr">
        <is>
          <t>TUSCOLA</t>
        </is>
      </c>
      <c r="G1315" s="59" t="n"/>
      <c r="N1315" s="59" t="n"/>
      <c r="O1315" s="59" t="n"/>
      <c r="X1315" s="61" t="n"/>
      <c r="Y1315" s="61" t="n"/>
    </row>
    <row r="1316" ht="14.25" customHeight="1" s="86">
      <c r="E1316" s="53" t="inlineStr">
        <is>
          <t>MI</t>
        </is>
      </c>
      <c r="F1316" s="53" t="inlineStr">
        <is>
          <t>VAN BUREN</t>
        </is>
      </c>
      <c r="G1316" s="59" t="n"/>
      <c r="N1316" s="59" t="n"/>
      <c r="O1316" s="59" t="n"/>
      <c r="X1316" s="61" t="n"/>
      <c r="Y1316" s="61" t="n"/>
    </row>
    <row r="1317" ht="14.25" customHeight="1" s="86">
      <c r="E1317" s="53" t="inlineStr">
        <is>
          <t>MI</t>
        </is>
      </c>
      <c r="F1317" s="53" t="inlineStr">
        <is>
          <t>WASHTENAW</t>
        </is>
      </c>
      <c r="G1317" s="59" t="n"/>
      <c r="N1317" s="59" t="n"/>
      <c r="O1317" s="59" t="n"/>
      <c r="X1317" s="61" t="n"/>
      <c r="Y1317" s="61" t="n"/>
    </row>
    <row r="1318" ht="14.25" customHeight="1" s="86">
      <c r="E1318" s="53" t="inlineStr">
        <is>
          <t>MI</t>
        </is>
      </c>
      <c r="F1318" s="53" t="inlineStr">
        <is>
          <t>WAYNE</t>
        </is>
      </c>
      <c r="G1318" s="59" t="n"/>
      <c r="N1318" s="59" t="n"/>
      <c r="O1318" s="59" t="n"/>
      <c r="X1318" s="61" t="n"/>
      <c r="Y1318" s="61" t="n"/>
    </row>
    <row r="1319" ht="14.25" customHeight="1" s="86">
      <c r="E1319" s="53" t="inlineStr">
        <is>
          <t>MI</t>
        </is>
      </c>
      <c r="F1319" s="53" t="inlineStr">
        <is>
          <t>WEXFORD</t>
        </is>
      </c>
      <c r="G1319" s="59" t="n"/>
      <c r="N1319" s="59" t="n"/>
      <c r="O1319" s="59" t="n"/>
      <c r="X1319" s="61" t="n"/>
      <c r="Y1319" s="61" t="n"/>
    </row>
    <row r="1320" ht="14.25" customHeight="1" s="86">
      <c r="E1320" s="53" t="inlineStr">
        <is>
          <t>MN</t>
        </is>
      </c>
      <c r="F1320" s="53" t="inlineStr">
        <is>
          <t>AITKIN</t>
        </is>
      </c>
      <c r="G1320" s="59" t="n"/>
      <c r="N1320" s="59" t="n"/>
      <c r="O1320" s="59" t="n"/>
      <c r="X1320" s="61" t="n"/>
      <c r="Y1320" s="61" t="n"/>
    </row>
    <row r="1321" ht="14.25" customHeight="1" s="86">
      <c r="E1321" s="53" t="inlineStr">
        <is>
          <t>MN</t>
        </is>
      </c>
      <c r="F1321" s="53" t="inlineStr">
        <is>
          <t>ANOKA</t>
        </is>
      </c>
      <c r="G1321" s="59" t="n"/>
      <c r="N1321" s="59" t="n"/>
      <c r="O1321" s="59" t="n"/>
      <c r="X1321" s="61" t="n"/>
      <c r="Y1321" s="61" t="n"/>
    </row>
    <row r="1322" ht="14.25" customHeight="1" s="86">
      <c r="E1322" s="53" t="inlineStr">
        <is>
          <t>MN</t>
        </is>
      </c>
      <c r="F1322" s="53" t="inlineStr">
        <is>
          <t>BECKER</t>
        </is>
      </c>
      <c r="G1322" s="59" t="n"/>
      <c r="N1322" s="59" t="n"/>
      <c r="O1322" s="59" t="n"/>
      <c r="X1322" s="61" t="n"/>
      <c r="Y1322" s="61" t="n"/>
    </row>
    <row r="1323" ht="14.25" customHeight="1" s="86">
      <c r="E1323" s="53" t="inlineStr">
        <is>
          <t>MN</t>
        </is>
      </c>
      <c r="F1323" s="53" t="inlineStr">
        <is>
          <t>BELTRAMI</t>
        </is>
      </c>
      <c r="G1323" s="59" t="n"/>
      <c r="N1323" s="59" t="n"/>
      <c r="O1323" s="59" t="n"/>
      <c r="X1323" s="61" t="n"/>
      <c r="Y1323" s="61" t="n"/>
    </row>
    <row r="1324" ht="14.25" customHeight="1" s="86">
      <c r="E1324" s="53" t="inlineStr">
        <is>
          <t>MN</t>
        </is>
      </c>
      <c r="F1324" s="53" t="inlineStr">
        <is>
          <t>BENTON</t>
        </is>
      </c>
      <c r="G1324" s="59" t="n"/>
      <c r="N1324" s="59" t="n"/>
      <c r="O1324" s="59" t="n"/>
      <c r="X1324" s="61" t="n"/>
      <c r="Y1324" s="61" t="n"/>
    </row>
    <row r="1325" ht="14.25" customHeight="1" s="86">
      <c r="E1325" s="53" t="inlineStr">
        <is>
          <t>MN</t>
        </is>
      </c>
      <c r="F1325" s="53" t="inlineStr">
        <is>
          <t>BIG STONE</t>
        </is>
      </c>
      <c r="G1325" s="59" t="n"/>
      <c r="N1325" s="59" t="n"/>
      <c r="O1325" s="59" t="n"/>
      <c r="X1325" s="61" t="n"/>
      <c r="Y1325" s="61" t="n"/>
    </row>
    <row r="1326" ht="14.25" customHeight="1" s="86">
      <c r="E1326" s="53" t="inlineStr">
        <is>
          <t>MN</t>
        </is>
      </c>
      <c r="F1326" s="53" t="inlineStr">
        <is>
          <t>BLUE EARTH</t>
        </is>
      </c>
      <c r="G1326" s="59" t="n"/>
      <c r="N1326" s="59" t="n"/>
      <c r="O1326" s="59" t="n"/>
      <c r="X1326" s="61" t="n"/>
      <c r="Y1326" s="61" t="n"/>
    </row>
    <row r="1327" ht="14.25" customHeight="1" s="86">
      <c r="E1327" s="53" t="inlineStr">
        <is>
          <t>MN</t>
        </is>
      </c>
      <c r="F1327" s="53" t="inlineStr">
        <is>
          <t>BROWN</t>
        </is>
      </c>
      <c r="G1327" s="59" t="n"/>
      <c r="N1327" s="59" t="n"/>
      <c r="O1327" s="59" t="n"/>
      <c r="X1327" s="61" t="n"/>
      <c r="Y1327" s="61" t="n"/>
    </row>
    <row r="1328" ht="14.25" customHeight="1" s="86">
      <c r="E1328" s="53" t="inlineStr">
        <is>
          <t>MN</t>
        </is>
      </c>
      <c r="F1328" s="53" t="inlineStr">
        <is>
          <t>CARLTON</t>
        </is>
      </c>
      <c r="G1328" s="59" t="n"/>
      <c r="N1328" s="59" t="n"/>
      <c r="O1328" s="59" t="n"/>
      <c r="X1328" s="61" t="n"/>
      <c r="Y1328" s="61" t="n"/>
    </row>
    <row r="1329" ht="14.25" customHeight="1" s="86">
      <c r="E1329" s="53" t="inlineStr">
        <is>
          <t>MN</t>
        </is>
      </c>
      <c r="F1329" s="53" t="inlineStr">
        <is>
          <t>CARVER</t>
        </is>
      </c>
      <c r="G1329" s="59" t="n"/>
      <c r="N1329" s="59" t="n"/>
      <c r="O1329" s="59" t="n"/>
      <c r="X1329" s="61" t="n"/>
      <c r="Y1329" s="61" t="n"/>
    </row>
    <row r="1330" ht="14.25" customHeight="1" s="86">
      <c r="E1330" s="53" t="inlineStr">
        <is>
          <t>MN</t>
        </is>
      </c>
      <c r="F1330" s="53" t="inlineStr">
        <is>
          <t>CASS</t>
        </is>
      </c>
      <c r="G1330" s="59" t="n"/>
      <c r="N1330" s="59" t="n"/>
      <c r="O1330" s="59" t="n"/>
      <c r="X1330" s="61" t="n"/>
      <c r="Y1330" s="61" t="n"/>
    </row>
    <row r="1331" ht="14.25" customHeight="1" s="86">
      <c r="E1331" s="53" t="inlineStr">
        <is>
          <t>MN</t>
        </is>
      </c>
      <c r="F1331" s="53" t="inlineStr">
        <is>
          <t>CHIPPEWA</t>
        </is>
      </c>
      <c r="G1331" s="59" t="n"/>
      <c r="N1331" s="59" t="n"/>
      <c r="O1331" s="59" t="n"/>
      <c r="X1331" s="61" t="n"/>
      <c r="Y1331" s="61" t="n"/>
    </row>
    <row r="1332" ht="14.25" customHeight="1" s="86">
      <c r="E1332" s="53" t="inlineStr">
        <is>
          <t>MN</t>
        </is>
      </c>
      <c r="F1332" s="53" t="inlineStr">
        <is>
          <t>CHISAGO</t>
        </is>
      </c>
      <c r="G1332" s="59" t="n"/>
      <c r="N1332" s="59" t="n"/>
      <c r="O1332" s="59" t="n"/>
      <c r="X1332" s="61" t="n"/>
      <c r="Y1332" s="61" t="n"/>
    </row>
    <row r="1333" ht="14.25" customHeight="1" s="86">
      <c r="E1333" s="53" t="inlineStr">
        <is>
          <t>MN</t>
        </is>
      </c>
      <c r="F1333" s="53" t="inlineStr">
        <is>
          <t>CLAY</t>
        </is>
      </c>
      <c r="G1333" s="59" t="n"/>
      <c r="N1333" s="59" t="n"/>
      <c r="O1333" s="59" t="n"/>
      <c r="X1333" s="61" t="n"/>
      <c r="Y1333" s="61" t="n"/>
    </row>
    <row r="1334" ht="14.25" customHeight="1" s="86">
      <c r="E1334" s="53" t="inlineStr">
        <is>
          <t>MN</t>
        </is>
      </c>
      <c r="F1334" s="53" t="inlineStr">
        <is>
          <t>CLEARWATER</t>
        </is>
      </c>
      <c r="G1334" s="59" t="n"/>
      <c r="N1334" s="59" t="n"/>
      <c r="O1334" s="59" t="n"/>
      <c r="X1334" s="61" t="n"/>
      <c r="Y1334" s="61" t="n"/>
    </row>
    <row r="1335" ht="14.25" customHeight="1" s="86">
      <c r="E1335" s="53" t="inlineStr">
        <is>
          <t>MN</t>
        </is>
      </c>
      <c r="F1335" s="53" t="inlineStr">
        <is>
          <t>COOK</t>
        </is>
      </c>
      <c r="G1335" s="59" t="n"/>
      <c r="N1335" s="59" t="n"/>
      <c r="O1335" s="59" t="n"/>
      <c r="X1335" s="61" t="n"/>
      <c r="Y1335" s="61" t="n"/>
    </row>
    <row r="1336" ht="14.25" customHeight="1" s="86">
      <c r="E1336" s="53" t="inlineStr">
        <is>
          <t>MN</t>
        </is>
      </c>
      <c r="F1336" s="53" t="inlineStr">
        <is>
          <t>COTTONWOOD</t>
        </is>
      </c>
      <c r="G1336" s="59" t="n"/>
      <c r="N1336" s="59" t="n"/>
      <c r="O1336" s="59" t="n"/>
      <c r="X1336" s="61" t="n"/>
      <c r="Y1336" s="61" t="n"/>
    </row>
    <row r="1337" ht="14.25" customHeight="1" s="86">
      <c r="E1337" s="53" t="inlineStr">
        <is>
          <t>MN</t>
        </is>
      </c>
      <c r="F1337" s="53" t="inlineStr">
        <is>
          <t>CROW WING</t>
        </is>
      </c>
      <c r="G1337" s="59" t="n"/>
      <c r="N1337" s="59" t="n"/>
      <c r="O1337" s="59" t="n"/>
      <c r="X1337" s="61" t="n"/>
      <c r="Y1337" s="61" t="n"/>
    </row>
    <row r="1338" ht="14.25" customHeight="1" s="86">
      <c r="E1338" s="53" t="inlineStr">
        <is>
          <t>MN</t>
        </is>
      </c>
      <c r="F1338" s="53" t="inlineStr">
        <is>
          <t>DAKOTA</t>
        </is>
      </c>
      <c r="G1338" s="59" t="n"/>
      <c r="N1338" s="59" t="n"/>
      <c r="O1338" s="59" t="n"/>
      <c r="X1338" s="61" t="n"/>
      <c r="Y1338" s="61" t="n"/>
    </row>
    <row r="1339" ht="14.25" customHeight="1" s="86">
      <c r="E1339" s="53" t="inlineStr">
        <is>
          <t>MN</t>
        </is>
      </c>
      <c r="F1339" s="53" t="inlineStr">
        <is>
          <t>DODGE</t>
        </is>
      </c>
      <c r="G1339" s="59" t="n"/>
      <c r="N1339" s="59" t="n"/>
      <c r="O1339" s="59" t="n"/>
      <c r="X1339" s="61" t="n"/>
      <c r="Y1339" s="61" t="n"/>
    </row>
    <row r="1340" ht="14.25" customHeight="1" s="86">
      <c r="E1340" s="53" t="inlineStr">
        <is>
          <t>MN</t>
        </is>
      </c>
      <c r="F1340" s="53" t="inlineStr">
        <is>
          <t>DOUGLAS</t>
        </is>
      </c>
      <c r="G1340" s="59" t="n"/>
      <c r="N1340" s="59" t="n"/>
      <c r="O1340" s="59" t="n"/>
      <c r="X1340" s="61" t="n"/>
      <c r="Y1340" s="61" t="n"/>
    </row>
    <row r="1341" ht="14.25" customHeight="1" s="86">
      <c r="E1341" s="53" t="inlineStr">
        <is>
          <t>MN</t>
        </is>
      </c>
      <c r="F1341" s="53" t="inlineStr">
        <is>
          <t>FARIBAULT</t>
        </is>
      </c>
      <c r="G1341" s="59" t="n"/>
      <c r="N1341" s="59" t="n"/>
      <c r="O1341" s="59" t="n"/>
      <c r="X1341" s="61" t="n"/>
      <c r="Y1341" s="61" t="n"/>
    </row>
    <row r="1342" ht="14.25" customHeight="1" s="86">
      <c r="E1342" s="53" t="inlineStr">
        <is>
          <t>MN</t>
        </is>
      </c>
      <c r="F1342" s="53" t="inlineStr">
        <is>
          <t>FILLMORE</t>
        </is>
      </c>
      <c r="G1342" s="59" t="n"/>
      <c r="N1342" s="59" t="n"/>
      <c r="O1342" s="59" t="n"/>
      <c r="X1342" s="61" t="n"/>
      <c r="Y1342" s="61" t="n"/>
    </row>
    <row r="1343" ht="14.25" customHeight="1" s="86">
      <c r="E1343" s="53" t="inlineStr">
        <is>
          <t>MN</t>
        </is>
      </c>
      <c r="F1343" s="53" t="inlineStr">
        <is>
          <t>FREEBORN</t>
        </is>
      </c>
      <c r="G1343" s="59" t="n"/>
      <c r="N1343" s="59" t="n"/>
      <c r="O1343" s="59" t="n"/>
      <c r="X1343" s="61" t="n"/>
      <c r="Y1343" s="61" t="n"/>
    </row>
    <row r="1344" ht="14.25" customHeight="1" s="86">
      <c r="E1344" s="53" t="inlineStr">
        <is>
          <t>MN</t>
        </is>
      </c>
      <c r="F1344" s="53" t="inlineStr">
        <is>
          <t>GOODHUE</t>
        </is>
      </c>
      <c r="G1344" s="59" t="n"/>
      <c r="N1344" s="59" t="n"/>
      <c r="O1344" s="59" t="n"/>
      <c r="X1344" s="61" t="n"/>
      <c r="Y1344" s="61" t="n"/>
    </row>
    <row r="1345" ht="14.25" customHeight="1" s="86">
      <c r="E1345" s="53" t="inlineStr">
        <is>
          <t>MN</t>
        </is>
      </c>
      <c r="F1345" s="53" t="inlineStr">
        <is>
          <t>GRANT</t>
        </is>
      </c>
      <c r="G1345" s="59" t="n"/>
      <c r="N1345" s="59" t="n"/>
      <c r="O1345" s="59" t="n"/>
      <c r="X1345" s="61" t="n"/>
      <c r="Y1345" s="61" t="n"/>
    </row>
    <row r="1346" ht="14.25" customHeight="1" s="86">
      <c r="E1346" s="53" t="inlineStr">
        <is>
          <t>MN</t>
        </is>
      </c>
      <c r="F1346" s="53" t="inlineStr">
        <is>
          <t>HENNEPIN</t>
        </is>
      </c>
      <c r="G1346" s="59" t="n"/>
      <c r="N1346" s="59" t="n"/>
      <c r="O1346" s="59" t="n"/>
      <c r="X1346" s="61" t="n"/>
      <c r="Y1346" s="61" t="n"/>
    </row>
    <row r="1347" ht="14.25" customHeight="1" s="86">
      <c r="E1347" s="53" t="inlineStr">
        <is>
          <t>MN</t>
        </is>
      </c>
      <c r="F1347" s="53" t="inlineStr">
        <is>
          <t>HOUSTON</t>
        </is>
      </c>
      <c r="G1347" s="59" t="n"/>
      <c r="N1347" s="59" t="n"/>
      <c r="O1347" s="59" t="n"/>
      <c r="X1347" s="61" t="n"/>
      <c r="Y1347" s="61" t="n"/>
    </row>
    <row r="1348" ht="14.25" customHeight="1" s="86">
      <c r="E1348" s="53" t="inlineStr">
        <is>
          <t>MN</t>
        </is>
      </c>
      <c r="F1348" s="53" t="inlineStr">
        <is>
          <t>HUBBARD</t>
        </is>
      </c>
      <c r="G1348" s="59" t="n"/>
      <c r="N1348" s="59" t="n"/>
      <c r="O1348" s="59" t="n"/>
      <c r="X1348" s="61" t="n"/>
      <c r="Y1348" s="61" t="n"/>
    </row>
    <row r="1349" ht="14.25" customHeight="1" s="86">
      <c r="E1349" s="53" t="inlineStr">
        <is>
          <t>MN</t>
        </is>
      </c>
      <c r="F1349" s="53" t="inlineStr">
        <is>
          <t>ISANTI</t>
        </is>
      </c>
      <c r="G1349" s="59" t="n"/>
      <c r="N1349" s="59" t="n"/>
      <c r="O1349" s="59" t="n"/>
      <c r="X1349" s="61" t="n"/>
      <c r="Y1349" s="61" t="n"/>
    </row>
    <row r="1350" ht="14.25" customHeight="1" s="86">
      <c r="E1350" s="53" t="inlineStr">
        <is>
          <t>MN</t>
        </is>
      </c>
      <c r="F1350" s="53" t="inlineStr">
        <is>
          <t>ITASCA</t>
        </is>
      </c>
      <c r="G1350" s="59" t="n"/>
      <c r="N1350" s="59" t="n"/>
      <c r="O1350" s="59" t="n"/>
      <c r="X1350" s="61" t="n"/>
      <c r="Y1350" s="61" t="n"/>
    </row>
    <row r="1351" ht="14.25" customHeight="1" s="86">
      <c r="E1351" s="53" t="inlineStr">
        <is>
          <t>MN</t>
        </is>
      </c>
      <c r="F1351" s="53" t="inlineStr">
        <is>
          <t>JACKSON</t>
        </is>
      </c>
      <c r="G1351" s="59" t="n"/>
      <c r="N1351" s="59" t="n"/>
      <c r="O1351" s="59" t="n"/>
      <c r="X1351" s="61" t="n"/>
      <c r="Y1351" s="61" t="n"/>
    </row>
    <row r="1352" ht="14.25" customHeight="1" s="86">
      <c r="E1352" s="53" t="inlineStr">
        <is>
          <t>MN</t>
        </is>
      </c>
      <c r="F1352" s="53" t="inlineStr">
        <is>
          <t>KANABEC</t>
        </is>
      </c>
      <c r="G1352" s="59" t="n"/>
      <c r="N1352" s="59" t="n"/>
      <c r="O1352" s="59" t="n"/>
      <c r="X1352" s="61" t="n"/>
      <c r="Y1352" s="61" t="n"/>
    </row>
    <row r="1353" ht="14.25" customHeight="1" s="86">
      <c r="E1353" s="53" t="inlineStr">
        <is>
          <t>MN</t>
        </is>
      </c>
      <c r="F1353" s="53" t="inlineStr">
        <is>
          <t>KANDIYOHI</t>
        </is>
      </c>
      <c r="G1353" s="59" t="n"/>
      <c r="N1353" s="59" t="n"/>
      <c r="O1353" s="59" t="n"/>
      <c r="X1353" s="61" t="n"/>
      <c r="Y1353" s="61" t="n"/>
    </row>
    <row r="1354" ht="14.25" customHeight="1" s="86">
      <c r="E1354" s="53" t="inlineStr">
        <is>
          <t>MN</t>
        </is>
      </c>
      <c r="F1354" s="53" t="inlineStr">
        <is>
          <t>KITTSON</t>
        </is>
      </c>
      <c r="G1354" s="59" t="n"/>
      <c r="N1354" s="59" t="n"/>
      <c r="O1354" s="59" t="n"/>
      <c r="X1354" s="61" t="n"/>
      <c r="Y1354" s="61" t="n"/>
    </row>
    <row r="1355" ht="14.25" customHeight="1" s="86">
      <c r="E1355" s="53" t="inlineStr">
        <is>
          <t>MN</t>
        </is>
      </c>
      <c r="F1355" s="53" t="inlineStr">
        <is>
          <t>KOOCHICHING</t>
        </is>
      </c>
      <c r="G1355" s="59" t="n"/>
      <c r="N1355" s="59" t="n"/>
      <c r="O1355" s="59" t="n"/>
      <c r="X1355" s="61" t="n"/>
      <c r="Y1355" s="61" t="n"/>
    </row>
    <row r="1356" ht="14.25" customHeight="1" s="86">
      <c r="E1356" s="53" t="inlineStr">
        <is>
          <t>MN</t>
        </is>
      </c>
      <c r="F1356" s="53" t="inlineStr">
        <is>
          <t>LAC QUI PARLE</t>
        </is>
      </c>
      <c r="G1356" s="59" t="n"/>
      <c r="N1356" s="59" t="n"/>
      <c r="O1356" s="59" t="n"/>
      <c r="X1356" s="61" t="n"/>
      <c r="Y1356" s="61" t="n"/>
    </row>
    <row r="1357" ht="14.25" customHeight="1" s="86">
      <c r="E1357" s="53" t="inlineStr">
        <is>
          <t>MN</t>
        </is>
      </c>
      <c r="F1357" s="53" t="inlineStr">
        <is>
          <t>LAKE</t>
        </is>
      </c>
      <c r="G1357" s="59" t="n"/>
      <c r="N1357" s="59" t="n"/>
      <c r="O1357" s="59" t="n"/>
      <c r="X1357" s="61" t="n"/>
      <c r="Y1357" s="61" t="n"/>
    </row>
    <row r="1358" ht="14.25" customHeight="1" s="86">
      <c r="E1358" s="53" t="inlineStr">
        <is>
          <t>MN</t>
        </is>
      </c>
      <c r="F1358" s="53" t="inlineStr">
        <is>
          <t>LAKE OF THE WOODS</t>
        </is>
      </c>
      <c r="G1358" s="59" t="n"/>
      <c r="N1358" s="59" t="n"/>
      <c r="O1358" s="59" t="n"/>
      <c r="X1358" s="61" t="n"/>
      <c r="Y1358" s="61" t="n"/>
    </row>
    <row r="1359" ht="14.25" customHeight="1" s="86">
      <c r="E1359" s="53" t="inlineStr">
        <is>
          <t>MN</t>
        </is>
      </c>
      <c r="F1359" s="53" t="inlineStr">
        <is>
          <t>LE SUEUR</t>
        </is>
      </c>
      <c r="G1359" s="59" t="n"/>
      <c r="N1359" s="59" t="n"/>
      <c r="O1359" s="59" t="n"/>
      <c r="X1359" s="61" t="n"/>
      <c r="Y1359" s="61" t="n"/>
    </row>
    <row r="1360" ht="14.25" customHeight="1" s="86">
      <c r="E1360" s="53" t="inlineStr">
        <is>
          <t>MN</t>
        </is>
      </c>
      <c r="F1360" s="53" t="inlineStr">
        <is>
          <t>LINCOLN</t>
        </is>
      </c>
      <c r="G1360" s="59" t="n"/>
      <c r="N1360" s="59" t="n"/>
      <c r="O1360" s="59" t="n"/>
      <c r="X1360" s="61" t="n"/>
      <c r="Y1360" s="61" t="n"/>
    </row>
    <row r="1361" ht="14.25" customHeight="1" s="86">
      <c r="E1361" s="53" t="inlineStr">
        <is>
          <t>MN</t>
        </is>
      </c>
      <c r="F1361" s="53" t="inlineStr">
        <is>
          <t>LYON</t>
        </is>
      </c>
      <c r="G1361" s="59" t="n"/>
      <c r="N1361" s="59" t="n"/>
      <c r="O1361" s="59" t="n"/>
      <c r="X1361" s="61" t="n"/>
      <c r="Y1361" s="61" t="n"/>
    </row>
    <row r="1362" ht="14.25" customHeight="1" s="86">
      <c r="E1362" s="53" t="inlineStr">
        <is>
          <t>MN</t>
        </is>
      </c>
      <c r="F1362" s="53" t="inlineStr">
        <is>
          <t>MAHNOMEN</t>
        </is>
      </c>
      <c r="G1362" s="59" t="n"/>
      <c r="N1362" s="59" t="n"/>
      <c r="O1362" s="59" t="n"/>
      <c r="X1362" s="61" t="n"/>
      <c r="Y1362" s="61" t="n"/>
    </row>
    <row r="1363" ht="14.25" customHeight="1" s="86">
      <c r="E1363" s="53" t="inlineStr">
        <is>
          <t>MN</t>
        </is>
      </c>
      <c r="F1363" s="53" t="inlineStr">
        <is>
          <t>MARSHALL</t>
        </is>
      </c>
      <c r="G1363" s="59" t="n"/>
      <c r="N1363" s="59" t="n"/>
      <c r="O1363" s="59" t="n"/>
      <c r="X1363" s="61" t="n"/>
      <c r="Y1363" s="61" t="n"/>
    </row>
    <row r="1364" ht="14.25" customHeight="1" s="86">
      <c r="E1364" s="53" t="inlineStr">
        <is>
          <t>MN</t>
        </is>
      </c>
      <c r="F1364" s="53" t="inlineStr">
        <is>
          <t>MARTIN</t>
        </is>
      </c>
      <c r="G1364" s="59" t="n"/>
      <c r="N1364" s="59" t="n"/>
      <c r="O1364" s="59" t="n"/>
      <c r="X1364" s="61" t="n"/>
      <c r="Y1364" s="61" t="n"/>
    </row>
    <row r="1365" ht="14.25" customHeight="1" s="86">
      <c r="E1365" s="53" t="inlineStr">
        <is>
          <t>MN</t>
        </is>
      </c>
      <c r="F1365" s="53" t="inlineStr">
        <is>
          <t>MCLEOD</t>
        </is>
      </c>
      <c r="G1365" s="59" t="n"/>
      <c r="N1365" s="59" t="n"/>
      <c r="O1365" s="59" t="n"/>
      <c r="X1365" s="61" t="n"/>
      <c r="Y1365" s="61" t="n"/>
    </row>
    <row r="1366" ht="14.25" customHeight="1" s="86">
      <c r="E1366" s="53" t="inlineStr">
        <is>
          <t>MN</t>
        </is>
      </c>
      <c r="F1366" s="53" t="inlineStr">
        <is>
          <t>MEEKER</t>
        </is>
      </c>
      <c r="G1366" s="59" t="n"/>
      <c r="N1366" s="59" t="n"/>
      <c r="O1366" s="59" t="n"/>
      <c r="X1366" s="61" t="n"/>
      <c r="Y1366" s="61" t="n"/>
    </row>
    <row r="1367" ht="14.25" customHeight="1" s="86">
      <c r="E1367" s="53" t="inlineStr">
        <is>
          <t>MN</t>
        </is>
      </c>
      <c r="F1367" s="53" t="inlineStr">
        <is>
          <t>MILLE LACS</t>
        </is>
      </c>
      <c r="G1367" s="59" t="n"/>
      <c r="N1367" s="59" t="n"/>
      <c r="O1367" s="59" t="n"/>
      <c r="X1367" s="61" t="n"/>
      <c r="Y1367" s="61" t="n"/>
    </row>
    <row r="1368" ht="14.25" customHeight="1" s="86">
      <c r="E1368" s="53" t="inlineStr">
        <is>
          <t>MN</t>
        </is>
      </c>
      <c r="F1368" s="53" t="inlineStr">
        <is>
          <t>MORRISON</t>
        </is>
      </c>
      <c r="G1368" s="59" t="n"/>
      <c r="N1368" s="59" t="n"/>
      <c r="O1368" s="59" t="n"/>
      <c r="X1368" s="61" t="n"/>
      <c r="Y1368" s="61" t="n"/>
    </row>
    <row r="1369" ht="14.25" customHeight="1" s="86">
      <c r="E1369" s="53" t="inlineStr">
        <is>
          <t>MN</t>
        </is>
      </c>
      <c r="F1369" s="53" t="inlineStr">
        <is>
          <t>MOWER</t>
        </is>
      </c>
      <c r="G1369" s="59" t="n"/>
      <c r="N1369" s="59" t="n"/>
      <c r="O1369" s="59" t="n"/>
      <c r="X1369" s="61" t="n"/>
      <c r="Y1369" s="61" t="n"/>
    </row>
    <row r="1370" ht="14.25" customHeight="1" s="86">
      <c r="E1370" s="53" t="inlineStr">
        <is>
          <t>MN</t>
        </is>
      </c>
      <c r="F1370" s="53" t="inlineStr">
        <is>
          <t>MURRAY</t>
        </is>
      </c>
      <c r="G1370" s="59" t="n"/>
      <c r="N1370" s="59" t="n"/>
      <c r="O1370" s="59" t="n"/>
      <c r="X1370" s="61" t="n"/>
      <c r="Y1370" s="61" t="n"/>
    </row>
    <row r="1371" ht="14.25" customHeight="1" s="86">
      <c r="E1371" s="53" t="inlineStr">
        <is>
          <t>MN</t>
        </is>
      </c>
      <c r="F1371" s="53" t="inlineStr">
        <is>
          <t>NICOLLET</t>
        </is>
      </c>
      <c r="G1371" s="59" t="n"/>
      <c r="N1371" s="59" t="n"/>
      <c r="O1371" s="59" t="n"/>
      <c r="X1371" s="61" t="n"/>
      <c r="Y1371" s="61" t="n"/>
    </row>
    <row r="1372" ht="14.25" customHeight="1" s="86">
      <c r="E1372" s="53" t="inlineStr">
        <is>
          <t>MN</t>
        </is>
      </c>
      <c r="F1372" s="53" t="inlineStr">
        <is>
          <t>NOBLES</t>
        </is>
      </c>
      <c r="G1372" s="59" t="n"/>
      <c r="N1372" s="59" t="n"/>
      <c r="O1372" s="59" t="n"/>
      <c r="X1372" s="61" t="n"/>
      <c r="Y1372" s="61" t="n"/>
    </row>
    <row r="1373" ht="14.25" customHeight="1" s="86">
      <c r="E1373" s="53" t="inlineStr">
        <is>
          <t>MN</t>
        </is>
      </c>
      <c r="F1373" s="53" t="inlineStr">
        <is>
          <t>NORMAN</t>
        </is>
      </c>
      <c r="G1373" s="59" t="n"/>
      <c r="N1373" s="59" t="n"/>
      <c r="O1373" s="59" t="n"/>
      <c r="X1373" s="61" t="n"/>
      <c r="Y1373" s="61" t="n"/>
    </row>
    <row r="1374" ht="14.25" customHeight="1" s="86">
      <c r="E1374" s="53" t="inlineStr">
        <is>
          <t>MN</t>
        </is>
      </c>
      <c r="F1374" s="53" t="inlineStr">
        <is>
          <t>OLMSTED</t>
        </is>
      </c>
      <c r="G1374" s="59" t="n"/>
      <c r="N1374" s="59" t="n"/>
      <c r="O1374" s="59" t="n"/>
      <c r="X1374" s="61" t="n"/>
      <c r="Y1374" s="61" t="n"/>
    </row>
    <row r="1375" ht="14.25" customHeight="1" s="86">
      <c r="E1375" s="53" t="inlineStr">
        <is>
          <t>MN</t>
        </is>
      </c>
      <c r="F1375" s="53" t="inlineStr">
        <is>
          <t>OTTER TAIL</t>
        </is>
      </c>
      <c r="G1375" s="59" t="n"/>
      <c r="N1375" s="59" t="n"/>
      <c r="O1375" s="59" t="n"/>
      <c r="X1375" s="61" t="n"/>
      <c r="Y1375" s="61" t="n"/>
    </row>
    <row r="1376" ht="14.25" customHeight="1" s="86">
      <c r="E1376" s="53" t="inlineStr">
        <is>
          <t>MN</t>
        </is>
      </c>
      <c r="F1376" s="53" t="inlineStr">
        <is>
          <t>PENNINGTON</t>
        </is>
      </c>
      <c r="G1376" s="59" t="n"/>
      <c r="N1376" s="59" t="n"/>
      <c r="O1376" s="59" t="n"/>
      <c r="X1376" s="61" t="n"/>
      <c r="Y1376" s="61" t="n"/>
    </row>
    <row r="1377" ht="14.25" customHeight="1" s="86">
      <c r="E1377" s="53" t="inlineStr">
        <is>
          <t>MN</t>
        </is>
      </c>
      <c r="F1377" s="53" t="inlineStr">
        <is>
          <t>PINE</t>
        </is>
      </c>
      <c r="G1377" s="59" t="n"/>
      <c r="N1377" s="59" t="n"/>
      <c r="O1377" s="59" t="n"/>
      <c r="X1377" s="61" t="n"/>
      <c r="Y1377" s="61" t="n"/>
    </row>
    <row r="1378" ht="14.25" customHeight="1" s="86">
      <c r="E1378" s="53" t="inlineStr">
        <is>
          <t>MN</t>
        </is>
      </c>
      <c r="F1378" s="53" t="inlineStr">
        <is>
          <t>PIPESTONE</t>
        </is>
      </c>
      <c r="G1378" s="59" t="n"/>
      <c r="N1378" s="59" t="n"/>
      <c r="O1378" s="59" t="n"/>
      <c r="X1378" s="61" t="n"/>
      <c r="Y1378" s="61" t="n"/>
    </row>
    <row r="1379" ht="14.25" customHeight="1" s="86">
      <c r="E1379" s="53" t="inlineStr">
        <is>
          <t>MN</t>
        </is>
      </c>
      <c r="F1379" s="53" t="inlineStr">
        <is>
          <t>POLK</t>
        </is>
      </c>
      <c r="G1379" s="59" t="n"/>
      <c r="N1379" s="59" t="n"/>
      <c r="O1379" s="59" t="n"/>
      <c r="X1379" s="61" t="n"/>
      <c r="Y1379" s="61" t="n"/>
    </row>
    <row r="1380" ht="14.25" customHeight="1" s="86">
      <c r="E1380" s="53" t="inlineStr">
        <is>
          <t>MN</t>
        </is>
      </c>
      <c r="F1380" s="53" t="inlineStr">
        <is>
          <t>POPE</t>
        </is>
      </c>
      <c r="G1380" s="59" t="n"/>
      <c r="N1380" s="59" t="n"/>
      <c r="O1380" s="59" t="n"/>
      <c r="X1380" s="61" t="n"/>
      <c r="Y1380" s="61" t="n"/>
    </row>
    <row r="1381" ht="14.25" customHeight="1" s="86">
      <c r="E1381" s="53" t="inlineStr">
        <is>
          <t>MN</t>
        </is>
      </c>
      <c r="F1381" s="53" t="inlineStr">
        <is>
          <t>RAMSEY</t>
        </is>
      </c>
      <c r="G1381" s="59" t="n"/>
      <c r="N1381" s="59" t="n"/>
      <c r="O1381" s="59" t="n"/>
      <c r="X1381" s="61" t="n"/>
      <c r="Y1381" s="61" t="n"/>
    </row>
    <row r="1382" ht="14.25" customHeight="1" s="86">
      <c r="E1382" s="53" t="inlineStr">
        <is>
          <t>MN</t>
        </is>
      </c>
      <c r="F1382" s="53" t="inlineStr">
        <is>
          <t>RED LAKE</t>
        </is>
      </c>
      <c r="G1382" s="59" t="n"/>
      <c r="N1382" s="59" t="n"/>
      <c r="O1382" s="59" t="n"/>
      <c r="X1382" s="61" t="n"/>
      <c r="Y1382" s="61" t="n"/>
    </row>
    <row r="1383" ht="14.25" customHeight="1" s="86">
      <c r="E1383" s="53" t="inlineStr">
        <is>
          <t>MN</t>
        </is>
      </c>
      <c r="F1383" s="53" t="inlineStr">
        <is>
          <t>REDWOOD</t>
        </is>
      </c>
      <c r="G1383" s="59" t="n"/>
      <c r="N1383" s="59" t="n"/>
      <c r="O1383" s="59" t="n"/>
      <c r="X1383" s="61" t="n"/>
      <c r="Y1383" s="61" t="n"/>
    </row>
    <row r="1384" ht="14.25" customHeight="1" s="86">
      <c r="E1384" s="53" t="inlineStr">
        <is>
          <t>MN</t>
        </is>
      </c>
      <c r="F1384" s="53" t="inlineStr">
        <is>
          <t>RENVILLE</t>
        </is>
      </c>
      <c r="G1384" s="59" t="n"/>
      <c r="N1384" s="59" t="n"/>
      <c r="O1384" s="59" t="n"/>
      <c r="X1384" s="61" t="n"/>
      <c r="Y1384" s="61" t="n"/>
    </row>
    <row r="1385" ht="14.25" customHeight="1" s="86">
      <c r="E1385" s="53" t="inlineStr">
        <is>
          <t>MN</t>
        </is>
      </c>
      <c r="F1385" s="53" t="inlineStr">
        <is>
          <t>RICE</t>
        </is>
      </c>
      <c r="G1385" s="59" t="n"/>
      <c r="N1385" s="59" t="n"/>
      <c r="O1385" s="59" t="n"/>
      <c r="X1385" s="61" t="n"/>
      <c r="Y1385" s="61" t="n"/>
    </row>
    <row r="1386" ht="14.25" customHeight="1" s="86">
      <c r="E1386" s="53" t="inlineStr">
        <is>
          <t>MN</t>
        </is>
      </c>
      <c r="F1386" s="53" t="inlineStr">
        <is>
          <t>ROCK</t>
        </is>
      </c>
      <c r="G1386" s="59" t="n"/>
      <c r="N1386" s="59" t="n"/>
      <c r="O1386" s="59" t="n"/>
      <c r="X1386" s="61" t="n"/>
      <c r="Y1386" s="61" t="n"/>
    </row>
    <row r="1387" ht="14.25" customHeight="1" s="86">
      <c r="E1387" s="53" t="inlineStr">
        <is>
          <t>MN</t>
        </is>
      </c>
      <c r="F1387" s="53" t="inlineStr">
        <is>
          <t>ROSEAU</t>
        </is>
      </c>
      <c r="G1387" s="59" t="n"/>
      <c r="N1387" s="59" t="n"/>
      <c r="O1387" s="59" t="n"/>
      <c r="X1387" s="61" t="n"/>
      <c r="Y1387" s="61" t="n"/>
    </row>
    <row r="1388" ht="14.25" customHeight="1" s="86">
      <c r="E1388" s="53" t="inlineStr">
        <is>
          <t>MN</t>
        </is>
      </c>
      <c r="F1388" s="53" t="inlineStr">
        <is>
          <t>SAINT LOUIS</t>
        </is>
      </c>
      <c r="G1388" s="59" t="n"/>
      <c r="N1388" s="59" t="n"/>
      <c r="O1388" s="59" t="n"/>
      <c r="X1388" s="61" t="n"/>
      <c r="Y1388" s="61" t="n"/>
    </row>
    <row r="1389" ht="14.25" customHeight="1" s="86">
      <c r="E1389" s="53" t="inlineStr">
        <is>
          <t>MN</t>
        </is>
      </c>
      <c r="F1389" s="53" t="inlineStr">
        <is>
          <t>SCOTT</t>
        </is>
      </c>
      <c r="G1389" s="59" t="n"/>
      <c r="N1389" s="59" t="n"/>
      <c r="O1389" s="59" t="n"/>
      <c r="X1389" s="61" t="n"/>
      <c r="Y1389" s="61" t="n"/>
    </row>
    <row r="1390" ht="14.25" customHeight="1" s="86">
      <c r="E1390" s="53" t="inlineStr">
        <is>
          <t>MN</t>
        </is>
      </c>
      <c r="F1390" s="53" t="inlineStr">
        <is>
          <t>SHERBURNE</t>
        </is>
      </c>
      <c r="G1390" s="59" t="n"/>
      <c r="N1390" s="59" t="n"/>
      <c r="O1390" s="59" t="n"/>
      <c r="X1390" s="61" t="n"/>
      <c r="Y1390" s="61" t="n"/>
    </row>
    <row r="1391" ht="14.25" customHeight="1" s="86">
      <c r="E1391" s="53" t="inlineStr">
        <is>
          <t>MN</t>
        </is>
      </c>
      <c r="F1391" s="53" t="inlineStr">
        <is>
          <t>SIBLEY</t>
        </is>
      </c>
      <c r="G1391" s="59" t="n"/>
      <c r="N1391" s="59" t="n"/>
      <c r="O1391" s="59" t="n"/>
      <c r="X1391" s="61" t="n"/>
      <c r="Y1391" s="61" t="n"/>
    </row>
    <row r="1392" ht="14.25" customHeight="1" s="86">
      <c r="E1392" s="53" t="inlineStr">
        <is>
          <t>MN</t>
        </is>
      </c>
      <c r="F1392" s="53" t="inlineStr">
        <is>
          <t>STEARNS</t>
        </is>
      </c>
      <c r="G1392" s="59" t="n"/>
      <c r="N1392" s="59" t="n"/>
      <c r="O1392" s="59" t="n"/>
      <c r="X1392" s="61" t="n"/>
      <c r="Y1392" s="61" t="n"/>
    </row>
    <row r="1393" ht="14.25" customHeight="1" s="86">
      <c r="E1393" s="53" t="inlineStr">
        <is>
          <t>MN</t>
        </is>
      </c>
      <c r="F1393" s="53" t="inlineStr">
        <is>
          <t>STEELE</t>
        </is>
      </c>
      <c r="G1393" s="59" t="n"/>
      <c r="N1393" s="59" t="n"/>
      <c r="O1393" s="59" t="n"/>
      <c r="X1393" s="61" t="n"/>
      <c r="Y1393" s="61" t="n"/>
    </row>
    <row r="1394" ht="14.25" customHeight="1" s="86">
      <c r="E1394" s="53" t="inlineStr">
        <is>
          <t>MN</t>
        </is>
      </c>
      <c r="F1394" s="53" t="inlineStr">
        <is>
          <t>STEVENS</t>
        </is>
      </c>
      <c r="G1394" s="59" t="n"/>
      <c r="N1394" s="59" t="n"/>
      <c r="O1394" s="59" t="n"/>
      <c r="X1394" s="61" t="n"/>
      <c r="Y1394" s="61" t="n"/>
    </row>
    <row r="1395" ht="14.25" customHeight="1" s="86">
      <c r="E1395" s="53" t="inlineStr">
        <is>
          <t>MN</t>
        </is>
      </c>
      <c r="F1395" s="53" t="inlineStr">
        <is>
          <t>SWIFT</t>
        </is>
      </c>
      <c r="G1395" s="59" t="n"/>
      <c r="N1395" s="59" t="n"/>
      <c r="O1395" s="59" t="n"/>
      <c r="X1395" s="61" t="n"/>
      <c r="Y1395" s="61" t="n"/>
    </row>
    <row r="1396" ht="14.25" customHeight="1" s="86">
      <c r="E1396" s="53" t="inlineStr">
        <is>
          <t>MN</t>
        </is>
      </c>
      <c r="F1396" s="53" t="inlineStr">
        <is>
          <t>TODD</t>
        </is>
      </c>
      <c r="G1396" s="59" t="n"/>
      <c r="N1396" s="59" t="n"/>
      <c r="O1396" s="59" t="n"/>
      <c r="X1396" s="61" t="n"/>
      <c r="Y1396" s="61" t="n"/>
    </row>
    <row r="1397" ht="14.25" customHeight="1" s="86">
      <c r="E1397" s="53" t="inlineStr">
        <is>
          <t>MN</t>
        </is>
      </c>
      <c r="F1397" s="53" t="inlineStr">
        <is>
          <t>TRAVERSE</t>
        </is>
      </c>
      <c r="G1397" s="59" t="n"/>
      <c r="N1397" s="59" t="n"/>
      <c r="O1397" s="59" t="n"/>
      <c r="X1397" s="61" t="n"/>
      <c r="Y1397" s="61" t="n"/>
    </row>
    <row r="1398" ht="14.25" customHeight="1" s="86">
      <c r="E1398" s="53" t="inlineStr">
        <is>
          <t>MN</t>
        </is>
      </c>
      <c r="F1398" s="53" t="inlineStr">
        <is>
          <t>WABASHA</t>
        </is>
      </c>
      <c r="G1398" s="59" t="n"/>
      <c r="N1398" s="59" t="n"/>
      <c r="O1398" s="59" t="n"/>
      <c r="X1398" s="61" t="n"/>
      <c r="Y1398" s="61" t="n"/>
    </row>
    <row r="1399" ht="14.25" customHeight="1" s="86">
      <c r="E1399" s="53" t="inlineStr">
        <is>
          <t>MN</t>
        </is>
      </c>
      <c r="F1399" s="53" t="inlineStr">
        <is>
          <t>WADENA</t>
        </is>
      </c>
      <c r="G1399" s="59" t="n"/>
      <c r="N1399" s="59" t="n"/>
      <c r="O1399" s="59" t="n"/>
      <c r="X1399" s="61" t="n"/>
      <c r="Y1399" s="61" t="n"/>
    </row>
    <row r="1400" ht="14.25" customHeight="1" s="86">
      <c r="E1400" s="53" t="inlineStr">
        <is>
          <t>MN</t>
        </is>
      </c>
      <c r="F1400" s="53" t="inlineStr">
        <is>
          <t>WASECA</t>
        </is>
      </c>
      <c r="G1400" s="59" t="n"/>
      <c r="N1400" s="59" t="n"/>
      <c r="O1400" s="59" t="n"/>
      <c r="X1400" s="61" t="n"/>
      <c r="Y1400" s="61" t="n"/>
    </row>
    <row r="1401" ht="14.25" customHeight="1" s="86">
      <c r="E1401" s="53" t="inlineStr">
        <is>
          <t>MN</t>
        </is>
      </c>
      <c r="F1401" s="53" t="inlineStr">
        <is>
          <t>WASHINGTON</t>
        </is>
      </c>
      <c r="G1401" s="59" t="n"/>
      <c r="N1401" s="59" t="n"/>
      <c r="O1401" s="59" t="n"/>
      <c r="X1401" s="61" t="n"/>
      <c r="Y1401" s="61" t="n"/>
    </row>
    <row r="1402" ht="14.25" customHeight="1" s="86">
      <c r="E1402" s="53" t="inlineStr">
        <is>
          <t>MN</t>
        </is>
      </c>
      <c r="F1402" s="53" t="inlineStr">
        <is>
          <t>WATONWAN</t>
        </is>
      </c>
      <c r="G1402" s="59" t="n"/>
      <c r="N1402" s="59" t="n"/>
      <c r="O1402" s="59" t="n"/>
      <c r="X1402" s="61" t="n"/>
      <c r="Y1402" s="61" t="n"/>
    </row>
    <row r="1403" ht="14.25" customHeight="1" s="86">
      <c r="E1403" s="53" t="inlineStr">
        <is>
          <t>MN</t>
        </is>
      </c>
      <c r="F1403" s="53" t="inlineStr">
        <is>
          <t>WILKIN</t>
        </is>
      </c>
      <c r="G1403" s="59" t="n"/>
      <c r="N1403" s="59" t="n"/>
      <c r="O1403" s="59" t="n"/>
      <c r="X1403" s="61" t="n"/>
      <c r="Y1403" s="61" t="n"/>
    </row>
    <row r="1404" ht="14.25" customHeight="1" s="86">
      <c r="E1404" s="53" t="inlineStr">
        <is>
          <t>MN</t>
        </is>
      </c>
      <c r="F1404" s="53" t="inlineStr">
        <is>
          <t>WINONA</t>
        </is>
      </c>
      <c r="G1404" s="59" t="n"/>
      <c r="N1404" s="59" t="n"/>
      <c r="O1404" s="59" t="n"/>
      <c r="X1404" s="61" t="n"/>
      <c r="Y1404" s="61" t="n"/>
    </row>
    <row r="1405" ht="14.25" customHeight="1" s="86">
      <c r="E1405" s="53" t="inlineStr">
        <is>
          <t>MN</t>
        </is>
      </c>
      <c r="F1405" s="53" t="inlineStr">
        <is>
          <t>WRIGHT</t>
        </is>
      </c>
      <c r="G1405" s="59" t="n"/>
      <c r="N1405" s="59" t="n"/>
      <c r="O1405" s="59" t="n"/>
      <c r="X1405" s="61" t="n"/>
      <c r="Y1405" s="61" t="n"/>
    </row>
    <row r="1406" ht="14.25" customHeight="1" s="86">
      <c r="E1406" s="53" t="inlineStr">
        <is>
          <t>MN</t>
        </is>
      </c>
      <c r="F1406" s="53" t="inlineStr">
        <is>
          <t>YELLOW MEDICINE</t>
        </is>
      </c>
      <c r="G1406" s="59" t="n"/>
      <c r="N1406" s="59" t="n"/>
      <c r="O1406" s="59" t="n"/>
      <c r="X1406" s="61" t="n"/>
      <c r="Y1406" s="61" t="n"/>
    </row>
    <row r="1407" ht="14.25" customHeight="1" s="86">
      <c r="E1407" s="53" t="inlineStr">
        <is>
          <t>MO</t>
        </is>
      </c>
      <c r="F1407" s="53" t="inlineStr">
        <is>
          <t>ADAIR</t>
        </is>
      </c>
      <c r="G1407" s="59" t="n"/>
      <c r="N1407" s="59" t="n"/>
      <c r="O1407" s="59" t="n"/>
      <c r="X1407" s="61" t="n"/>
      <c r="Y1407" s="61" t="n"/>
    </row>
    <row r="1408" ht="14.25" customHeight="1" s="86">
      <c r="E1408" s="53" t="inlineStr">
        <is>
          <t>MO</t>
        </is>
      </c>
      <c r="F1408" s="53" t="inlineStr">
        <is>
          <t>ANDREW</t>
        </is>
      </c>
      <c r="G1408" s="59" t="n"/>
      <c r="N1408" s="59" t="n"/>
      <c r="O1408" s="59" t="n"/>
      <c r="X1408" s="61" t="n"/>
      <c r="Y1408" s="61" t="n"/>
    </row>
    <row r="1409" ht="14.25" customHeight="1" s="86">
      <c r="E1409" s="53" t="inlineStr">
        <is>
          <t>MO</t>
        </is>
      </c>
      <c r="F1409" s="53" t="inlineStr">
        <is>
          <t>ATCHISON</t>
        </is>
      </c>
      <c r="G1409" s="59" t="n"/>
      <c r="N1409" s="59" t="n"/>
      <c r="O1409" s="59" t="n"/>
      <c r="X1409" s="61" t="n"/>
      <c r="Y1409" s="61" t="n"/>
    </row>
    <row r="1410" ht="14.25" customHeight="1" s="86">
      <c r="E1410" s="53" t="inlineStr">
        <is>
          <t>MO</t>
        </is>
      </c>
      <c r="F1410" s="53" t="inlineStr">
        <is>
          <t>AUDRAIN</t>
        </is>
      </c>
      <c r="G1410" s="59" t="n"/>
      <c r="N1410" s="59" t="n"/>
      <c r="O1410" s="59" t="n"/>
      <c r="X1410" s="61" t="n"/>
      <c r="Y1410" s="61" t="n"/>
    </row>
    <row r="1411" ht="14.25" customHeight="1" s="86">
      <c r="E1411" s="53" t="inlineStr">
        <is>
          <t>MO</t>
        </is>
      </c>
      <c r="F1411" s="53" t="inlineStr">
        <is>
          <t>BARRY</t>
        </is>
      </c>
      <c r="G1411" s="59" t="n"/>
      <c r="N1411" s="59" t="n"/>
      <c r="O1411" s="59" t="n"/>
      <c r="X1411" s="61" t="n"/>
      <c r="Y1411" s="61" t="n"/>
    </row>
    <row r="1412" ht="14.25" customHeight="1" s="86">
      <c r="E1412" s="53" t="inlineStr">
        <is>
          <t>MO</t>
        </is>
      </c>
      <c r="F1412" s="53" t="inlineStr">
        <is>
          <t>BARTON</t>
        </is>
      </c>
      <c r="G1412" s="59" t="n"/>
      <c r="N1412" s="59" t="n"/>
      <c r="O1412" s="59" t="n"/>
      <c r="X1412" s="61" t="n"/>
      <c r="Y1412" s="61" t="n"/>
    </row>
    <row r="1413" ht="14.25" customHeight="1" s="86">
      <c r="E1413" s="53" t="inlineStr">
        <is>
          <t>MO</t>
        </is>
      </c>
      <c r="F1413" s="53" t="inlineStr">
        <is>
          <t>BATES</t>
        </is>
      </c>
      <c r="G1413" s="59" t="n"/>
      <c r="N1413" s="59" t="n"/>
      <c r="O1413" s="59" t="n"/>
      <c r="X1413" s="61" t="n"/>
      <c r="Y1413" s="61" t="n"/>
    </row>
    <row r="1414" ht="14.25" customHeight="1" s="86">
      <c r="E1414" s="53" t="inlineStr">
        <is>
          <t>MO</t>
        </is>
      </c>
      <c r="F1414" s="53" t="inlineStr">
        <is>
          <t>BENTON</t>
        </is>
      </c>
      <c r="G1414" s="59" t="n"/>
      <c r="N1414" s="59" t="n"/>
      <c r="O1414" s="59" t="n"/>
      <c r="X1414" s="61" t="n"/>
      <c r="Y1414" s="61" t="n"/>
    </row>
    <row r="1415" ht="14.25" customHeight="1" s="86">
      <c r="E1415" s="53" t="inlineStr">
        <is>
          <t>MO</t>
        </is>
      </c>
      <c r="F1415" s="53" t="inlineStr">
        <is>
          <t>BOLLINGER</t>
        </is>
      </c>
      <c r="G1415" s="59" t="n"/>
      <c r="N1415" s="59" t="n"/>
      <c r="O1415" s="59" t="n"/>
      <c r="X1415" s="61" t="n"/>
      <c r="Y1415" s="61" t="n"/>
    </row>
    <row r="1416" ht="14.25" customHeight="1" s="86">
      <c r="E1416" s="53" t="inlineStr">
        <is>
          <t>MO</t>
        </is>
      </c>
      <c r="F1416" s="53" t="inlineStr">
        <is>
          <t>BOONE</t>
        </is>
      </c>
      <c r="G1416" s="59" t="n"/>
      <c r="N1416" s="59" t="n"/>
      <c r="O1416" s="59" t="n"/>
      <c r="X1416" s="61" t="n"/>
      <c r="Y1416" s="61" t="n"/>
    </row>
    <row r="1417" ht="14.25" customHeight="1" s="86">
      <c r="E1417" s="53" t="inlineStr">
        <is>
          <t>MO</t>
        </is>
      </c>
      <c r="F1417" s="53" t="inlineStr">
        <is>
          <t>BUCHANAN</t>
        </is>
      </c>
      <c r="G1417" s="59" t="n"/>
      <c r="N1417" s="59" t="n"/>
      <c r="O1417" s="59" t="n"/>
      <c r="X1417" s="61" t="n"/>
      <c r="Y1417" s="61" t="n"/>
    </row>
    <row r="1418" ht="14.25" customHeight="1" s="86">
      <c r="E1418" s="53" t="inlineStr">
        <is>
          <t>MO</t>
        </is>
      </c>
      <c r="F1418" s="53" t="inlineStr">
        <is>
          <t>BUTLER</t>
        </is>
      </c>
      <c r="G1418" s="59" t="n"/>
      <c r="N1418" s="59" t="n"/>
      <c r="O1418" s="59" t="n"/>
      <c r="X1418" s="61" t="n"/>
      <c r="Y1418" s="61" t="n"/>
    </row>
    <row r="1419" ht="14.25" customHeight="1" s="86">
      <c r="E1419" s="53" t="inlineStr">
        <is>
          <t>MO</t>
        </is>
      </c>
      <c r="F1419" s="53" t="inlineStr">
        <is>
          <t>CALDWELL</t>
        </is>
      </c>
      <c r="G1419" s="59" t="n"/>
      <c r="N1419" s="59" t="n"/>
      <c r="O1419" s="59" t="n"/>
      <c r="X1419" s="61" t="n"/>
      <c r="Y1419" s="61" t="n"/>
    </row>
    <row r="1420" ht="14.25" customHeight="1" s="86">
      <c r="E1420" s="53" t="inlineStr">
        <is>
          <t>MO</t>
        </is>
      </c>
      <c r="F1420" s="53" t="inlineStr">
        <is>
          <t>CALLAWAY</t>
        </is>
      </c>
      <c r="G1420" s="59" t="n"/>
      <c r="N1420" s="59" t="n"/>
      <c r="O1420" s="59" t="n"/>
      <c r="X1420" s="61" t="n"/>
      <c r="Y1420" s="61" t="n"/>
    </row>
    <row r="1421" ht="14.25" customHeight="1" s="86">
      <c r="E1421" s="53" t="inlineStr">
        <is>
          <t>MO</t>
        </is>
      </c>
      <c r="F1421" s="53" t="inlineStr">
        <is>
          <t>CAMDEN</t>
        </is>
      </c>
      <c r="G1421" s="59" t="n"/>
      <c r="N1421" s="59" t="n"/>
      <c r="O1421" s="59" t="n"/>
      <c r="X1421" s="61" t="n"/>
      <c r="Y1421" s="61" t="n"/>
    </row>
    <row r="1422" ht="14.25" customHeight="1" s="86">
      <c r="E1422" s="53" t="inlineStr">
        <is>
          <t>MO</t>
        </is>
      </c>
      <c r="F1422" s="53" t="inlineStr">
        <is>
          <t>CAPE GIRARDEAU</t>
        </is>
      </c>
      <c r="G1422" s="59" t="n"/>
      <c r="N1422" s="59" t="n"/>
      <c r="O1422" s="59" t="n"/>
      <c r="X1422" s="61" t="n"/>
      <c r="Y1422" s="61" t="n"/>
    </row>
    <row r="1423" ht="14.25" customHeight="1" s="86">
      <c r="E1423" s="53" t="inlineStr">
        <is>
          <t>MO</t>
        </is>
      </c>
      <c r="F1423" s="53" t="inlineStr">
        <is>
          <t>CARROLL</t>
        </is>
      </c>
      <c r="G1423" s="59" t="n"/>
      <c r="N1423" s="59" t="n"/>
      <c r="O1423" s="59" t="n"/>
      <c r="X1423" s="61" t="n"/>
      <c r="Y1423" s="61" t="n"/>
    </row>
    <row r="1424" ht="14.25" customHeight="1" s="86">
      <c r="E1424" s="53" t="inlineStr">
        <is>
          <t>MO</t>
        </is>
      </c>
      <c r="F1424" s="53" t="inlineStr">
        <is>
          <t>CARTER</t>
        </is>
      </c>
      <c r="G1424" s="59" t="n"/>
      <c r="N1424" s="59" t="n"/>
      <c r="O1424" s="59" t="n"/>
      <c r="X1424" s="61" t="n"/>
      <c r="Y1424" s="61" t="n"/>
    </row>
    <row r="1425" ht="14.25" customHeight="1" s="86">
      <c r="E1425" s="53" t="inlineStr">
        <is>
          <t>MO</t>
        </is>
      </c>
      <c r="F1425" s="53" t="inlineStr">
        <is>
          <t>CASS</t>
        </is>
      </c>
      <c r="G1425" s="59" t="n"/>
      <c r="N1425" s="59" t="n"/>
      <c r="O1425" s="59" t="n"/>
      <c r="X1425" s="61" t="n"/>
      <c r="Y1425" s="61" t="n"/>
    </row>
    <row r="1426" ht="14.25" customHeight="1" s="86">
      <c r="E1426" s="53" t="inlineStr">
        <is>
          <t>MO</t>
        </is>
      </c>
      <c r="F1426" s="53" t="inlineStr">
        <is>
          <t>CEDAR</t>
        </is>
      </c>
      <c r="G1426" s="59" t="n"/>
      <c r="N1426" s="59" t="n"/>
      <c r="O1426" s="59" t="n"/>
      <c r="X1426" s="61" t="n"/>
      <c r="Y1426" s="61" t="n"/>
    </row>
    <row r="1427" ht="14.25" customHeight="1" s="86">
      <c r="E1427" s="53" t="inlineStr">
        <is>
          <t>MO</t>
        </is>
      </c>
      <c r="F1427" s="53" t="inlineStr">
        <is>
          <t>CHARITON</t>
        </is>
      </c>
      <c r="G1427" s="59" t="n"/>
      <c r="N1427" s="59" t="n"/>
      <c r="O1427" s="59" t="n"/>
      <c r="X1427" s="61" t="n"/>
      <c r="Y1427" s="61" t="n"/>
    </row>
    <row r="1428" ht="14.25" customHeight="1" s="86">
      <c r="E1428" s="53" t="inlineStr">
        <is>
          <t>MO</t>
        </is>
      </c>
      <c r="F1428" s="53" t="inlineStr">
        <is>
          <t>CHRISTIAN</t>
        </is>
      </c>
      <c r="G1428" s="59" t="n"/>
      <c r="N1428" s="59" t="n"/>
      <c r="O1428" s="59" t="n"/>
      <c r="X1428" s="61" t="n"/>
      <c r="Y1428" s="61" t="n"/>
    </row>
    <row r="1429" ht="14.25" customHeight="1" s="86">
      <c r="E1429" s="53" t="inlineStr">
        <is>
          <t>MO</t>
        </is>
      </c>
      <c r="F1429" s="53" t="inlineStr">
        <is>
          <t>CLARK</t>
        </is>
      </c>
      <c r="G1429" s="59" t="n"/>
      <c r="N1429" s="59" t="n"/>
      <c r="O1429" s="59" t="n"/>
      <c r="X1429" s="61" t="n"/>
      <c r="Y1429" s="61" t="n"/>
    </row>
    <row r="1430" ht="14.25" customHeight="1" s="86">
      <c r="E1430" s="53" t="inlineStr">
        <is>
          <t>MO</t>
        </is>
      </c>
      <c r="F1430" s="53" t="inlineStr">
        <is>
          <t>CLAY</t>
        </is>
      </c>
      <c r="G1430" s="59" t="n"/>
      <c r="N1430" s="59" t="n"/>
      <c r="O1430" s="59" t="n"/>
      <c r="X1430" s="61" t="n"/>
      <c r="Y1430" s="61" t="n"/>
    </row>
    <row r="1431" ht="14.25" customHeight="1" s="86">
      <c r="E1431" s="53" t="inlineStr">
        <is>
          <t>MO</t>
        </is>
      </c>
      <c r="F1431" s="53" t="inlineStr">
        <is>
          <t>CLINTON</t>
        </is>
      </c>
      <c r="G1431" s="59" t="n"/>
      <c r="N1431" s="59" t="n"/>
      <c r="O1431" s="59" t="n"/>
      <c r="X1431" s="61" t="n"/>
      <c r="Y1431" s="61" t="n"/>
    </row>
    <row r="1432" ht="14.25" customHeight="1" s="86">
      <c r="E1432" s="53" t="inlineStr">
        <is>
          <t>MO</t>
        </is>
      </c>
      <c r="F1432" s="53" t="inlineStr">
        <is>
          <t>COLE</t>
        </is>
      </c>
      <c r="G1432" s="59" t="n"/>
      <c r="N1432" s="59" t="n"/>
      <c r="O1432" s="59" t="n"/>
      <c r="X1432" s="61" t="n"/>
      <c r="Y1432" s="61" t="n"/>
    </row>
    <row r="1433" ht="14.25" customHeight="1" s="86">
      <c r="E1433" s="53" t="inlineStr">
        <is>
          <t>MO</t>
        </is>
      </c>
      <c r="F1433" s="53" t="inlineStr">
        <is>
          <t>COOPER</t>
        </is>
      </c>
      <c r="G1433" s="59" t="n"/>
      <c r="N1433" s="59" t="n"/>
      <c r="O1433" s="59" t="n"/>
      <c r="X1433" s="61" t="n"/>
      <c r="Y1433" s="61" t="n"/>
    </row>
    <row r="1434" ht="14.25" customHeight="1" s="86">
      <c r="E1434" s="53" t="inlineStr">
        <is>
          <t>MO</t>
        </is>
      </c>
      <c r="F1434" s="53" t="inlineStr">
        <is>
          <t>CRAWFORD</t>
        </is>
      </c>
      <c r="G1434" s="59" t="n"/>
      <c r="N1434" s="59" t="n"/>
      <c r="O1434" s="59" t="n"/>
      <c r="X1434" s="61" t="n"/>
      <c r="Y1434" s="61" t="n"/>
    </row>
    <row r="1435" ht="14.25" customHeight="1" s="86">
      <c r="E1435" s="53" t="inlineStr">
        <is>
          <t>MO</t>
        </is>
      </c>
      <c r="F1435" s="53" t="inlineStr">
        <is>
          <t>DADE</t>
        </is>
      </c>
      <c r="G1435" s="59" t="n"/>
      <c r="N1435" s="59" t="n"/>
      <c r="O1435" s="59" t="n"/>
      <c r="X1435" s="61" t="n"/>
      <c r="Y1435" s="61" t="n"/>
    </row>
    <row r="1436" ht="14.25" customHeight="1" s="86">
      <c r="E1436" s="53" t="inlineStr">
        <is>
          <t>MO</t>
        </is>
      </c>
      <c r="F1436" s="53" t="inlineStr">
        <is>
          <t>DALLAS</t>
        </is>
      </c>
      <c r="G1436" s="59" t="n"/>
      <c r="N1436" s="59" t="n"/>
      <c r="O1436" s="59" t="n"/>
      <c r="X1436" s="61" t="n"/>
      <c r="Y1436" s="61" t="n"/>
    </row>
    <row r="1437" ht="14.25" customHeight="1" s="86">
      <c r="E1437" s="53" t="inlineStr">
        <is>
          <t>MO</t>
        </is>
      </c>
      <c r="F1437" s="53" t="inlineStr">
        <is>
          <t>DAVIESS</t>
        </is>
      </c>
      <c r="G1437" s="59" t="n"/>
      <c r="N1437" s="59" t="n"/>
      <c r="O1437" s="59" t="n"/>
      <c r="X1437" s="61" t="n"/>
      <c r="Y1437" s="61" t="n"/>
    </row>
    <row r="1438" ht="14.25" customHeight="1" s="86">
      <c r="E1438" s="53" t="inlineStr">
        <is>
          <t>MO</t>
        </is>
      </c>
      <c r="F1438" s="53" t="inlineStr">
        <is>
          <t>DEKALB</t>
        </is>
      </c>
      <c r="G1438" s="59" t="n"/>
      <c r="N1438" s="59" t="n"/>
      <c r="O1438" s="59" t="n"/>
      <c r="X1438" s="61" t="n"/>
      <c r="Y1438" s="61" t="n"/>
    </row>
    <row r="1439" ht="14.25" customHeight="1" s="86">
      <c r="E1439" s="53" t="inlineStr">
        <is>
          <t>MO</t>
        </is>
      </c>
      <c r="F1439" s="53" t="inlineStr">
        <is>
          <t>DENT</t>
        </is>
      </c>
      <c r="G1439" s="59" t="n"/>
      <c r="N1439" s="59" t="n"/>
      <c r="O1439" s="59" t="n"/>
      <c r="X1439" s="61" t="n"/>
      <c r="Y1439" s="61" t="n"/>
    </row>
    <row r="1440" ht="14.25" customHeight="1" s="86">
      <c r="E1440" s="53" t="inlineStr">
        <is>
          <t>MO</t>
        </is>
      </c>
      <c r="F1440" s="53" t="inlineStr">
        <is>
          <t>DOUGLAS</t>
        </is>
      </c>
      <c r="G1440" s="59" t="n"/>
      <c r="N1440" s="59" t="n"/>
      <c r="O1440" s="59" t="n"/>
      <c r="X1440" s="61" t="n"/>
      <c r="Y1440" s="61" t="n"/>
    </row>
    <row r="1441" ht="14.25" customHeight="1" s="86">
      <c r="E1441" s="53" t="inlineStr">
        <is>
          <t>MO</t>
        </is>
      </c>
      <c r="F1441" s="53" t="inlineStr">
        <is>
          <t>DUNKLIN</t>
        </is>
      </c>
      <c r="G1441" s="59" t="n"/>
      <c r="N1441" s="59" t="n"/>
      <c r="O1441" s="59" t="n"/>
      <c r="X1441" s="61" t="n"/>
      <c r="Y1441" s="61" t="n"/>
    </row>
    <row r="1442" ht="14.25" customHeight="1" s="86">
      <c r="E1442" s="53" t="inlineStr">
        <is>
          <t>MO</t>
        </is>
      </c>
      <c r="F1442" s="53" t="inlineStr">
        <is>
          <t>FRANKLIN</t>
        </is>
      </c>
      <c r="G1442" s="59" t="n"/>
      <c r="N1442" s="59" t="n"/>
      <c r="O1442" s="59" t="n"/>
      <c r="X1442" s="61" t="n"/>
      <c r="Y1442" s="61" t="n"/>
    </row>
    <row r="1443" ht="14.25" customHeight="1" s="86">
      <c r="E1443" s="53" t="inlineStr">
        <is>
          <t>MO</t>
        </is>
      </c>
      <c r="F1443" s="53" t="inlineStr">
        <is>
          <t>GASCONADE</t>
        </is>
      </c>
      <c r="G1443" s="59" t="n"/>
      <c r="N1443" s="59" t="n"/>
      <c r="O1443" s="59" t="n"/>
      <c r="X1443" s="61" t="n"/>
      <c r="Y1443" s="61" t="n"/>
    </row>
    <row r="1444" ht="14.25" customHeight="1" s="86">
      <c r="E1444" s="53" t="inlineStr">
        <is>
          <t>MO</t>
        </is>
      </c>
      <c r="F1444" s="53" t="inlineStr">
        <is>
          <t>GENTRY</t>
        </is>
      </c>
      <c r="G1444" s="59" t="n"/>
      <c r="N1444" s="59" t="n"/>
      <c r="O1444" s="59" t="n"/>
      <c r="X1444" s="61" t="n"/>
      <c r="Y1444" s="61" t="n"/>
    </row>
    <row r="1445" ht="14.25" customHeight="1" s="86">
      <c r="E1445" s="53" t="inlineStr">
        <is>
          <t>MO</t>
        </is>
      </c>
      <c r="F1445" s="53" t="inlineStr">
        <is>
          <t>GREENE</t>
        </is>
      </c>
      <c r="G1445" s="59" t="n"/>
      <c r="N1445" s="59" t="n"/>
      <c r="O1445" s="59" t="n"/>
      <c r="X1445" s="61" t="n"/>
      <c r="Y1445" s="61" t="n"/>
    </row>
    <row r="1446" ht="14.25" customHeight="1" s="86">
      <c r="E1446" s="53" t="inlineStr">
        <is>
          <t>MO</t>
        </is>
      </c>
      <c r="F1446" s="53" t="inlineStr">
        <is>
          <t>GRUNDY</t>
        </is>
      </c>
      <c r="G1446" s="59" t="n"/>
      <c r="N1446" s="59" t="n"/>
      <c r="O1446" s="59" t="n"/>
      <c r="X1446" s="61" t="n"/>
      <c r="Y1446" s="61" t="n"/>
    </row>
    <row r="1447" ht="14.25" customHeight="1" s="86">
      <c r="E1447" s="53" t="inlineStr">
        <is>
          <t>MO</t>
        </is>
      </c>
      <c r="F1447" s="53" t="inlineStr">
        <is>
          <t>HARRISON</t>
        </is>
      </c>
      <c r="G1447" s="59" t="n"/>
      <c r="N1447" s="59" t="n"/>
      <c r="O1447" s="59" t="n"/>
      <c r="X1447" s="61" t="n"/>
      <c r="Y1447" s="61" t="n"/>
    </row>
    <row r="1448" ht="14.25" customHeight="1" s="86">
      <c r="E1448" s="53" t="inlineStr">
        <is>
          <t>MO</t>
        </is>
      </c>
      <c r="F1448" s="53" t="inlineStr">
        <is>
          <t>HENRY</t>
        </is>
      </c>
      <c r="G1448" s="59" t="n"/>
      <c r="N1448" s="59" t="n"/>
      <c r="O1448" s="59" t="n"/>
      <c r="X1448" s="61" t="n"/>
      <c r="Y1448" s="61" t="n"/>
    </row>
    <row r="1449" ht="14.25" customHeight="1" s="86">
      <c r="E1449" s="53" t="inlineStr">
        <is>
          <t>MO</t>
        </is>
      </c>
      <c r="F1449" s="53" t="inlineStr">
        <is>
          <t>HICKORY</t>
        </is>
      </c>
      <c r="G1449" s="59" t="n"/>
      <c r="N1449" s="59" t="n"/>
      <c r="O1449" s="59" t="n"/>
      <c r="X1449" s="61" t="n"/>
      <c r="Y1449" s="61" t="n"/>
    </row>
    <row r="1450" ht="14.25" customHeight="1" s="86">
      <c r="E1450" s="53" t="inlineStr">
        <is>
          <t>MO</t>
        </is>
      </c>
      <c r="F1450" s="53" t="inlineStr">
        <is>
          <t>HOLT</t>
        </is>
      </c>
      <c r="G1450" s="59" t="n"/>
      <c r="N1450" s="59" t="n"/>
      <c r="O1450" s="59" t="n"/>
      <c r="X1450" s="61" t="n"/>
      <c r="Y1450" s="61" t="n"/>
    </row>
    <row r="1451" ht="14.25" customHeight="1" s="86">
      <c r="E1451" s="53" t="inlineStr">
        <is>
          <t>MO</t>
        </is>
      </c>
      <c r="F1451" s="53" t="inlineStr">
        <is>
          <t>HOWARD</t>
        </is>
      </c>
      <c r="G1451" s="59" t="n"/>
      <c r="N1451" s="59" t="n"/>
      <c r="O1451" s="59" t="n"/>
      <c r="X1451" s="61" t="n"/>
      <c r="Y1451" s="61" t="n"/>
    </row>
    <row r="1452" ht="14.25" customHeight="1" s="86">
      <c r="E1452" s="53" t="inlineStr">
        <is>
          <t>MO</t>
        </is>
      </c>
      <c r="F1452" s="53" t="inlineStr">
        <is>
          <t>HOWELL</t>
        </is>
      </c>
      <c r="G1452" s="59" t="n"/>
      <c r="N1452" s="59" t="n"/>
      <c r="O1452" s="59" t="n"/>
      <c r="X1452" s="61" t="n"/>
      <c r="Y1452" s="61" t="n"/>
    </row>
    <row r="1453" ht="14.25" customHeight="1" s="86">
      <c r="E1453" s="53" t="inlineStr">
        <is>
          <t>MO</t>
        </is>
      </c>
      <c r="F1453" s="53" t="inlineStr">
        <is>
          <t>IRON</t>
        </is>
      </c>
      <c r="G1453" s="59" t="n"/>
      <c r="N1453" s="59" t="n"/>
      <c r="O1453" s="59" t="n"/>
      <c r="X1453" s="61" t="n"/>
      <c r="Y1453" s="61" t="n"/>
    </row>
    <row r="1454" ht="14.25" customHeight="1" s="86">
      <c r="E1454" s="53" t="inlineStr">
        <is>
          <t>MO</t>
        </is>
      </c>
      <c r="F1454" s="53" t="inlineStr">
        <is>
          <t>JACKSON</t>
        </is>
      </c>
      <c r="G1454" s="59" t="n"/>
      <c r="N1454" s="59" t="n"/>
      <c r="O1454" s="59" t="n"/>
      <c r="X1454" s="61" t="n"/>
      <c r="Y1454" s="61" t="n"/>
    </row>
    <row r="1455" ht="14.25" customHeight="1" s="86">
      <c r="E1455" s="53" t="inlineStr">
        <is>
          <t>MO</t>
        </is>
      </c>
      <c r="F1455" s="53" t="inlineStr">
        <is>
          <t>JASPER</t>
        </is>
      </c>
      <c r="G1455" s="59" t="n"/>
      <c r="N1455" s="59" t="n"/>
      <c r="O1455" s="59" t="n"/>
      <c r="X1455" s="61" t="n"/>
      <c r="Y1455" s="61" t="n"/>
    </row>
    <row r="1456" ht="14.25" customHeight="1" s="86">
      <c r="E1456" s="53" t="inlineStr">
        <is>
          <t>MO</t>
        </is>
      </c>
      <c r="F1456" s="53" t="inlineStr">
        <is>
          <t>JEFFERSON</t>
        </is>
      </c>
      <c r="G1456" s="59" t="n"/>
      <c r="N1456" s="59" t="n"/>
      <c r="O1456" s="59" t="n"/>
      <c r="X1456" s="61" t="n"/>
      <c r="Y1456" s="61" t="n"/>
    </row>
    <row r="1457" ht="14.25" customHeight="1" s="86">
      <c r="E1457" s="53" t="inlineStr">
        <is>
          <t>MO</t>
        </is>
      </c>
      <c r="F1457" s="53" t="inlineStr">
        <is>
          <t>JOHNSON</t>
        </is>
      </c>
      <c r="G1457" s="59" t="n"/>
      <c r="N1457" s="59" t="n"/>
      <c r="O1457" s="59" t="n"/>
      <c r="X1457" s="61" t="n"/>
      <c r="Y1457" s="61" t="n"/>
    </row>
    <row r="1458" ht="14.25" customHeight="1" s="86">
      <c r="E1458" s="53" t="inlineStr">
        <is>
          <t>MO</t>
        </is>
      </c>
      <c r="F1458" s="53" t="inlineStr">
        <is>
          <t>KNOX</t>
        </is>
      </c>
      <c r="G1458" s="59" t="n"/>
      <c r="N1458" s="59" t="n"/>
      <c r="O1458" s="59" t="n"/>
      <c r="X1458" s="61" t="n"/>
      <c r="Y1458" s="61" t="n"/>
    </row>
    <row r="1459" ht="14.25" customHeight="1" s="86">
      <c r="E1459" s="53" t="inlineStr">
        <is>
          <t>MO</t>
        </is>
      </c>
      <c r="F1459" s="53" t="inlineStr">
        <is>
          <t>LACLEDE</t>
        </is>
      </c>
      <c r="G1459" s="59" t="n"/>
      <c r="N1459" s="59" t="n"/>
      <c r="O1459" s="59" t="n"/>
      <c r="X1459" s="61" t="n"/>
      <c r="Y1459" s="61" t="n"/>
    </row>
    <row r="1460" ht="14.25" customHeight="1" s="86">
      <c r="E1460" s="53" t="inlineStr">
        <is>
          <t>MO</t>
        </is>
      </c>
      <c r="F1460" s="53" t="inlineStr">
        <is>
          <t>LAFAYETTE</t>
        </is>
      </c>
      <c r="G1460" s="59" t="n"/>
      <c r="N1460" s="59" t="n"/>
      <c r="O1460" s="59" t="n"/>
      <c r="X1460" s="61" t="n"/>
      <c r="Y1460" s="61" t="n"/>
    </row>
    <row r="1461" ht="14.25" customHeight="1" s="86">
      <c r="E1461" s="53" t="inlineStr">
        <is>
          <t>MO</t>
        </is>
      </c>
      <c r="F1461" s="53" t="inlineStr">
        <is>
          <t>LAWRENCE</t>
        </is>
      </c>
      <c r="G1461" s="59" t="n"/>
      <c r="N1461" s="59" t="n"/>
      <c r="O1461" s="59" t="n"/>
      <c r="X1461" s="61" t="n"/>
      <c r="Y1461" s="61" t="n"/>
    </row>
    <row r="1462" ht="14.25" customHeight="1" s="86">
      <c r="E1462" s="53" t="inlineStr">
        <is>
          <t>MO</t>
        </is>
      </c>
      <c r="F1462" s="53" t="inlineStr">
        <is>
          <t>LEWIS</t>
        </is>
      </c>
      <c r="G1462" s="59" t="n"/>
      <c r="N1462" s="59" t="n"/>
      <c r="O1462" s="59" t="n"/>
      <c r="X1462" s="61" t="n"/>
      <c r="Y1462" s="61" t="n"/>
    </row>
    <row r="1463" ht="14.25" customHeight="1" s="86">
      <c r="E1463" s="53" t="inlineStr">
        <is>
          <t>MO</t>
        </is>
      </c>
      <c r="F1463" s="53" t="inlineStr">
        <is>
          <t>LINCOLN</t>
        </is>
      </c>
      <c r="G1463" s="59" t="n"/>
      <c r="N1463" s="59" t="n"/>
      <c r="O1463" s="59" t="n"/>
      <c r="X1463" s="61" t="n"/>
      <c r="Y1463" s="61" t="n"/>
    </row>
    <row r="1464" ht="14.25" customHeight="1" s="86">
      <c r="E1464" s="53" t="inlineStr">
        <is>
          <t>MO</t>
        </is>
      </c>
      <c r="F1464" s="53" t="inlineStr">
        <is>
          <t>LINN</t>
        </is>
      </c>
      <c r="G1464" s="59" t="n"/>
      <c r="N1464" s="59" t="n"/>
      <c r="O1464" s="59" t="n"/>
      <c r="X1464" s="61" t="n"/>
      <c r="Y1464" s="61" t="n"/>
    </row>
    <row r="1465" ht="14.25" customHeight="1" s="86">
      <c r="E1465" s="53" t="inlineStr">
        <is>
          <t>MO</t>
        </is>
      </c>
      <c r="F1465" s="53" t="inlineStr">
        <is>
          <t>LIVINGSTON</t>
        </is>
      </c>
      <c r="G1465" s="59" t="n"/>
      <c r="N1465" s="59" t="n"/>
      <c r="O1465" s="59" t="n"/>
      <c r="X1465" s="61" t="n"/>
      <c r="Y1465" s="61" t="n"/>
    </row>
    <row r="1466" ht="14.25" customHeight="1" s="86">
      <c r="E1466" s="53" t="inlineStr">
        <is>
          <t>MO</t>
        </is>
      </c>
      <c r="F1466" s="53" t="inlineStr">
        <is>
          <t>MACON</t>
        </is>
      </c>
      <c r="G1466" s="59" t="n"/>
      <c r="N1466" s="59" t="n"/>
      <c r="O1466" s="59" t="n"/>
      <c r="X1466" s="61" t="n"/>
      <c r="Y1466" s="61" t="n"/>
    </row>
    <row r="1467" ht="14.25" customHeight="1" s="86">
      <c r="E1467" s="53" t="inlineStr">
        <is>
          <t>MO</t>
        </is>
      </c>
      <c r="F1467" s="53" t="inlineStr">
        <is>
          <t>MADISON</t>
        </is>
      </c>
      <c r="G1467" s="59" t="n"/>
      <c r="N1467" s="59" t="n"/>
      <c r="O1467" s="59" t="n"/>
      <c r="X1467" s="61" t="n"/>
      <c r="Y1467" s="61" t="n"/>
    </row>
    <row r="1468" ht="14.25" customHeight="1" s="86">
      <c r="E1468" s="53" t="inlineStr">
        <is>
          <t>MO</t>
        </is>
      </c>
      <c r="F1468" s="53" t="inlineStr">
        <is>
          <t>MARIES</t>
        </is>
      </c>
      <c r="G1468" s="59" t="n"/>
      <c r="N1468" s="59" t="n"/>
      <c r="O1468" s="59" t="n"/>
      <c r="X1468" s="61" t="n"/>
      <c r="Y1468" s="61" t="n"/>
    </row>
    <row r="1469" ht="14.25" customHeight="1" s="86">
      <c r="E1469" s="53" t="inlineStr">
        <is>
          <t>MO</t>
        </is>
      </c>
      <c r="F1469" s="53" t="inlineStr">
        <is>
          <t>MARION</t>
        </is>
      </c>
      <c r="G1469" s="59" t="n"/>
      <c r="N1469" s="59" t="n"/>
      <c r="O1469" s="59" t="n"/>
      <c r="X1469" s="61" t="n"/>
      <c r="Y1469" s="61" t="n"/>
    </row>
    <row r="1470" ht="14.25" customHeight="1" s="86">
      <c r="E1470" s="53" t="inlineStr">
        <is>
          <t>MO</t>
        </is>
      </c>
      <c r="F1470" s="53" t="inlineStr">
        <is>
          <t>MCDONALD</t>
        </is>
      </c>
      <c r="G1470" s="59" t="n"/>
      <c r="N1470" s="59" t="n"/>
      <c r="O1470" s="59" t="n"/>
      <c r="X1470" s="61" t="n"/>
      <c r="Y1470" s="61" t="n"/>
    </row>
    <row r="1471" ht="14.25" customHeight="1" s="86">
      <c r="E1471" s="53" t="inlineStr">
        <is>
          <t>MO</t>
        </is>
      </c>
      <c r="F1471" s="53" t="inlineStr">
        <is>
          <t>MERCER</t>
        </is>
      </c>
      <c r="G1471" s="59" t="n"/>
      <c r="N1471" s="59" t="n"/>
      <c r="O1471" s="59" t="n"/>
      <c r="X1471" s="61" t="n"/>
      <c r="Y1471" s="61" t="n"/>
    </row>
    <row r="1472" ht="14.25" customHeight="1" s="86">
      <c r="E1472" s="53" t="inlineStr">
        <is>
          <t>MO</t>
        </is>
      </c>
      <c r="F1472" s="53" t="inlineStr">
        <is>
          <t>MILLER</t>
        </is>
      </c>
      <c r="G1472" s="59" t="n"/>
      <c r="N1472" s="59" t="n"/>
      <c r="O1472" s="59" t="n"/>
      <c r="X1472" s="61" t="n"/>
      <c r="Y1472" s="61" t="n"/>
    </row>
    <row r="1473" ht="14.25" customHeight="1" s="86">
      <c r="E1473" s="53" t="inlineStr">
        <is>
          <t>MO</t>
        </is>
      </c>
      <c r="F1473" s="53" t="inlineStr">
        <is>
          <t>MISSISSIPPI</t>
        </is>
      </c>
      <c r="G1473" s="59" t="n"/>
      <c r="N1473" s="59" t="n"/>
      <c r="O1473" s="59" t="n"/>
      <c r="X1473" s="61" t="n"/>
      <c r="Y1473" s="61" t="n"/>
    </row>
    <row r="1474" ht="14.25" customHeight="1" s="86">
      <c r="E1474" s="53" t="inlineStr">
        <is>
          <t>MO</t>
        </is>
      </c>
      <c r="F1474" s="53" t="inlineStr">
        <is>
          <t>MONITEAU</t>
        </is>
      </c>
      <c r="G1474" s="59" t="n"/>
      <c r="N1474" s="59" t="n"/>
      <c r="O1474" s="59" t="n"/>
      <c r="X1474" s="61" t="n"/>
      <c r="Y1474" s="61" t="n"/>
    </row>
    <row r="1475" ht="14.25" customHeight="1" s="86">
      <c r="E1475" s="53" t="inlineStr">
        <is>
          <t>MO</t>
        </is>
      </c>
      <c r="F1475" s="53" t="inlineStr">
        <is>
          <t>MONROE</t>
        </is>
      </c>
      <c r="G1475" s="59" t="n"/>
      <c r="N1475" s="59" t="n"/>
      <c r="O1475" s="59" t="n"/>
      <c r="X1475" s="61" t="n"/>
      <c r="Y1475" s="61" t="n"/>
    </row>
    <row r="1476" ht="14.25" customHeight="1" s="86">
      <c r="E1476" s="53" t="inlineStr">
        <is>
          <t>MO</t>
        </is>
      </c>
      <c r="F1476" s="53" t="inlineStr">
        <is>
          <t>MONTGOMERY</t>
        </is>
      </c>
      <c r="G1476" s="59" t="n"/>
      <c r="N1476" s="59" t="n"/>
      <c r="O1476" s="59" t="n"/>
      <c r="X1476" s="61" t="n"/>
      <c r="Y1476" s="61" t="n"/>
    </row>
    <row r="1477" ht="14.25" customHeight="1" s="86">
      <c r="E1477" s="53" t="inlineStr">
        <is>
          <t>MO</t>
        </is>
      </c>
      <c r="F1477" s="53" t="inlineStr">
        <is>
          <t>MORGAN</t>
        </is>
      </c>
      <c r="G1477" s="59" t="n"/>
      <c r="N1477" s="59" t="n"/>
      <c r="O1477" s="59" t="n"/>
      <c r="X1477" s="61" t="n"/>
      <c r="Y1477" s="61" t="n"/>
    </row>
    <row r="1478" ht="14.25" customHeight="1" s="86">
      <c r="E1478" s="53" t="inlineStr">
        <is>
          <t>MO</t>
        </is>
      </c>
      <c r="F1478" s="53" t="inlineStr">
        <is>
          <t>NEW MADRID</t>
        </is>
      </c>
      <c r="G1478" s="59" t="n"/>
      <c r="N1478" s="59" t="n"/>
      <c r="O1478" s="59" t="n"/>
      <c r="X1478" s="61" t="n"/>
      <c r="Y1478" s="61" t="n"/>
    </row>
    <row r="1479" ht="14.25" customHeight="1" s="86">
      <c r="E1479" s="53" t="inlineStr">
        <is>
          <t>MO</t>
        </is>
      </c>
      <c r="F1479" s="53" t="inlineStr">
        <is>
          <t>NEWTON</t>
        </is>
      </c>
      <c r="G1479" s="59" t="n"/>
      <c r="N1479" s="59" t="n"/>
      <c r="O1479" s="59" t="n"/>
      <c r="X1479" s="61" t="n"/>
      <c r="Y1479" s="61" t="n"/>
    </row>
    <row r="1480" ht="14.25" customHeight="1" s="86">
      <c r="E1480" s="53" t="inlineStr">
        <is>
          <t>MO</t>
        </is>
      </c>
      <c r="F1480" s="53" t="inlineStr">
        <is>
          <t>NODAWAY</t>
        </is>
      </c>
      <c r="G1480" s="59" t="n"/>
      <c r="N1480" s="59" t="n"/>
      <c r="O1480" s="59" t="n"/>
      <c r="X1480" s="61" t="n"/>
      <c r="Y1480" s="61" t="n"/>
    </row>
    <row r="1481" ht="14.25" customHeight="1" s="86">
      <c r="E1481" s="53" t="inlineStr">
        <is>
          <t>MO</t>
        </is>
      </c>
      <c r="F1481" s="53" t="inlineStr">
        <is>
          <t>OREGON</t>
        </is>
      </c>
      <c r="G1481" s="59" t="n"/>
      <c r="N1481" s="59" t="n"/>
      <c r="O1481" s="59" t="n"/>
      <c r="X1481" s="61" t="n"/>
      <c r="Y1481" s="61" t="n"/>
    </row>
    <row r="1482" ht="14.25" customHeight="1" s="86">
      <c r="E1482" s="53" t="inlineStr">
        <is>
          <t>MO</t>
        </is>
      </c>
      <c r="F1482" s="53" t="inlineStr">
        <is>
          <t>OSAGE</t>
        </is>
      </c>
      <c r="G1482" s="59" t="n"/>
      <c r="N1482" s="59" t="n"/>
      <c r="O1482" s="59" t="n"/>
      <c r="X1482" s="61" t="n"/>
      <c r="Y1482" s="61" t="n"/>
    </row>
    <row r="1483" ht="14.25" customHeight="1" s="86">
      <c r="E1483" s="53" t="inlineStr">
        <is>
          <t>MO</t>
        </is>
      </c>
      <c r="F1483" s="53" t="inlineStr">
        <is>
          <t>OZARK</t>
        </is>
      </c>
      <c r="G1483" s="59" t="n"/>
      <c r="N1483" s="59" t="n"/>
      <c r="O1483" s="59" t="n"/>
      <c r="X1483" s="61" t="n"/>
      <c r="Y1483" s="61" t="n"/>
    </row>
    <row r="1484" ht="14.25" customHeight="1" s="86">
      <c r="E1484" s="53" t="inlineStr">
        <is>
          <t>MO</t>
        </is>
      </c>
      <c r="F1484" s="53" t="inlineStr">
        <is>
          <t>PEMISCOT</t>
        </is>
      </c>
      <c r="G1484" s="59" t="n"/>
      <c r="N1484" s="59" t="n"/>
      <c r="O1484" s="59" t="n"/>
      <c r="X1484" s="61" t="n"/>
      <c r="Y1484" s="61" t="n"/>
    </row>
    <row r="1485" ht="14.25" customHeight="1" s="86">
      <c r="E1485" s="53" t="inlineStr">
        <is>
          <t>MO</t>
        </is>
      </c>
      <c r="F1485" s="53" t="inlineStr">
        <is>
          <t>PERRY</t>
        </is>
      </c>
      <c r="G1485" s="59" t="n"/>
      <c r="N1485" s="59" t="n"/>
      <c r="O1485" s="59" t="n"/>
      <c r="X1485" s="61" t="n"/>
      <c r="Y1485" s="61" t="n"/>
    </row>
    <row r="1486" ht="14.25" customHeight="1" s="86">
      <c r="E1486" s="53" t="inlineStr">
        <is>
          <t>MO</t>
        </is>
      </c>
      <c r="F1486" s="53" t="inlineStr">
        <is>
          <t>PETTIS</t>
        </is>
      </c>
      <c r="G1486" s="59" t="n"/>
      <c r="N1486" s="59" t="n"/>
      <c r="O1486" s="59" t="n"/>
      <c r="X1486" s="61" t="n"/>
      <c r="Y1486" s="61" t="n"/>
    </row>
    <row r="1487" ht="14.25" customHeight="1" s="86">
      <c r="E1487" s="53" t="inlineStr">
        <is>
          <t>MO</t>
        </is>
      </c>
      <c r="F1487" s="53" t="inlineStr">
        <is>
          <t>PHELPS</t>
        </is>
      </c>
      <c r="G1487" s="59" t="n"/>
      <c r="N1487" s="59" t="n"/>
      <c r="O1487" s="59" t="n"/>
      <c r="X1487" s="61" t="n"/>
      <c r="Y1487" s="61" t="n"/>
    </row>
    <row r="1488" ht="14.25" customHeight="1" s="86">
      <c r="E1488" s="53" t="inlineStr">
        <is>
          <t>MO</t>
        </is>
      </c>
      <c r="F1488" s="53" t="inlineStr">
        <is>
          <t>PIKE</t>
        </is>
      </c>
      <c r="G1488" s="59" t="n"/>
      <c r="N1488" s="59" t="n"/>
      <c r="O1488" s="59" t="n"/>
      <c r="X1488" s="61" t="n"/>
      <c r="Y1488" s="61" t="n"/>
    </row>
    <row r="1489" ht="14.25" customHeight="1" s="86">
      <c r="E1489" s="53" t="inlineStr">
        <is>
          <t>MO</t>
        </is>
      </c>
      <c r="F1489" s="53" t="inlineStr">
        <is>
          <t>PLATTE</t>
        </is>
      </c>
      <c r="G1489" s="59" t="n"/>
      <c r="N1489" s="59" t="n"/>
      <c r="O1489" s="59" t="n"/>
      <c r="X1489" s="61" t="n"/>
      <c r="Y1489" s="61" t="n"/>
    </row>
    <row r="1490" ht="14.25" customHeight="1" s="86">
      <c r="E1490" s="53" t="inlineStr">
        <is>
          <t>MO</t>
        </is>
      </c>
      <c r="F1490" s="53" t="inlineStr">
        <is>
          <t>POLK</t>
        </is>
      </c>
      <c r="G1490" s="59" t="n"/>
      <c r="N1490" s="59" t="n"/>
      <c r="O1490" s="59" t="n"/>
      <c r="X1490" s="61" t="n"/>
      <c r="Y1490" s="61" t="n"/>
    </row>
    <row r="1491" ht="14.25" customHeight="1" s="86">
      <c r="E1491" s="53" t="inlineStr">
        <is>
          <t>MO</t>
        </is>
      </c>
      <c r="F1491" s="53" t="inlineStr">
        <is>
          <t>PULASKI</t>
        </is>
      </c>
      <c r="G1491" s="59" t="n"/>
      <c r="N1491" s="59" t="n"/>
      <c r="O1491" s="59" t="n"/>
      <c r="X1491" s="61" t="n"/>
      <c r="Y1491" s="61" t="n"/>
    </row>
    <row r="1492" ht="14.25" customHeight="1" s="86">
      <c r="E1492" s="53" t="inlineStr">
        <is>
          <t>MO</t>
        </is>
      </c>
      <c r="F1492" s="53" t="inlineStr">
        <is>
          <t>PUTNAM</t>
        </is>
      </c>
      <c r="G1492" s="59" t="n"/>
      <c r="N1492" s="59" t="n"/>
      <c r="O1492" s="59" t="n"/>
      <c r="X1492" s="61" t="n"/>
      <c r="Y1492" s="61" t="n"/>
    </row>
    <row r="1493" ht="14.25" customHeight="1" s="86">
      <c r="E1493" s="53" t="inlineStr">
        <is>
          <t>MO</t>
        </is>
      </c>
      <c r="F1493" s="53" t="inlineStr">
        <is>
          <t>RALLS</t>
        </is>
      </c>
      <c r="G1493" s="59" t="n"/>
      <c r="N1493" s="59" t="n"/>
      <c r="O1493" s="59" t="n"/>
      <c r="X1493" s="61" t="n"/>
      <c r="Y1493" s="61" t="n"/>
    </row>
    <row r="1494" ht="14.25" customHeight="1" s="86">
      <c r="E1494" s="53" t="inlineStr">
        <is>
          <t>MO</t>
        </is>
      </c>
      <c r="F1494" s="53" t="inlineStr">
        <is>
          <t>RANDOLPH</t>
        </is>
      </c>
      <c r="G1494" s="59" t="n"/>
      <c r="N1494" s="59" t="n"/>
      <c r="O1494" s="59" t="n"/>
      <c r="X1494" s="61" t="n"/>
      <c r="Y1494" s="61" t="n"/>
    </row>
    <row r="1495" ht="14.25" customHeight="1" s="86">
      <c r="E1495" s="53" t="inlineStr">
        <is>
          <t>MO</t>
        </is>
      </c>
      <c r="F1495" s="53" t="inlineStr">
        <is>
          <t>RAY</t>
        </is>
      </c>
      <c r="G1495" s="59" t="n"/>
      <c r="N1495" s="59" t="n"/>
      <c r="O1495" s="59" t="n"/>
      <c r="X1495" s="61" t="n"/>
      <c r="Y1495" s="61" t="n"/>
    </row>
    <row r="1496" ht="14.25" customHeight="1" s="86">
      <c r="E1496" s="53" t="inlineStr">
        <is>
          <t>MO</t>
        </is>
      </c>
      <c r="F1496" s="53" t="inlineStr">
        <is>
          <t>REYNOLDS</t>
        </is>
      </c>
      <c r="G1496" s="59" t="n"/>
      <c r="N1496" s="59" t="n"/>
      <c r="O1496" s="59" t="n"/>
      <c r="X1496" s="61" t="n"/>
      <c r="Y1496" s="61" t="n"/>
    </row>
    <row r="1497" ht="14.25" customHeight="1" s="86">
      <c r="E1497" s="53" t="inlineStr">
        <is>
          <t>MO</t>
        </is>
      </c>
      <c r="F1497" s="53" t="inlineStr">
        <is>
          <t>RIPLEY</t>
        </is>
      </c>
      <c r="G1497" s="59" t="n"/>
      <c r="N1497" s="59" t="n"/>
      <c r="O1497" s="59" t="n"/>
      <c r="X1497" s="61" t="n"/>
      <c r="Y1497" s="61" t="n"/>
    </row>
    <row r="1498" ht="14.25" customHeight="1" s="86">
      <c r="E1498" s="53" t="inlineStr">
        <is>
          <t>MO</t>
        </is>
      </c>
      <c r="F1498" s="53" t="inlineStr">
        <is>
          <t>SAINT CHARLES</t>
        </is>
      </c>
      <c r="G1498" s="59" t="n"/>
      <c r="N1498" s="59" t="n"/>
      <c r="O1498" s="59" t="n"/>
      <c r="X1498" s="61" t="n"/>
      <c r="Y1498" s="61" t="n"/>
    </row>
    <row r="1499" ht="14.25" customHeight="1" s="86">
      <c r="E1499" s="53" t="inlineStr">
        <is>
          <t>MO</t>
        </is>
      </c>
      <c r="F1499" s="53" t="inlineStr">
        <is>
          <t>SAINT CLAIR</t>
        </is>
      </c>
      <c r="G1499" s="59" t="n"/>
      <c r="N1499" s="59" t="n"/>
      <c r="O1499" s="59" t="n"/>
      <c r="X1499" s="61" t="n"/>
      <c r="Y1499" s="61" t="n"/>
    </row>
    <row r="1500" ht="14.25" customHeight="1" s="86">
      <c r="E1500" s="53" t="inlineStr">
        <is>
          <t>MO</t>
        </is>
      </c>
      <c r="F1500" s="53" t="inlineStr">
        <is>
          <t>SAINT FRANCOIS</t>
        </is>
      </c>
      <c r="G1500" s="59" t="n"/>
      <c r="N1500" s="59" t="n"/>
      <c r="O1500" s="59" t="n"/>
      <c r="X1500" s="61" t="n"/>
      <c r="Y1500" s="61" t="n"/>
    </row>
    <row r="1501" ht="14.25" customHeight="1" s="86">
      <c r="E1501" s="53" t="inlineStr">
        <is>
          <t>MO</t>
        </is>
      </c>
      <c r="F1501" s="53" t="inlineStr">
        <is>
          <t>SAINT LOUIS</t>
        </is>
      </c>
      <c r="G1501" s="59" t="n"/>
      <c r="N1501" s="59" t="n"/>
      <c r="O1501" s="59" t="n"/>
      <c r="X1501" s="61" t="n"/>
      <c r="Y1501" s="61" t="n"/>
    </row>
    <row r="1502" ht="14.25" customHeight="1" s="86">
      <c r="E1502" s="53" t="inlineStr">
        <is>
          <t>MO</t>
        </is>
      </c>
      <c r="F1502" s="53" t="inlineStr">
        <is>
          <t>SAINT LOUIS CITY</t>
        </is>
      </c>
      <c r="G1502" s="59" t="n"/>
      <c r="N1502" s="59" t="n"/>
      <c r="O1502" s="59" t="n"/>
      <c r="X1502" s="61" t="n"/>
      <c r="Y1502" s="61" t="n"/>
    </row>
    <row r="1503" ht="14.25" customHeight="1" s="86">
      <c r="E1503" s="53" t="inlineStr">
        <is>
          <t>MO</t>
        </is>
      </c>
      <c r="F1503" s="53" t="inlineStr">
        <is>
          <t>SAINTE GENEVIEVE</t>
        </is>
      </c>
      <c r="G1503" s="59" t="n"/>
      <c r="N1503" s="59" t="n"/>
      <c r="O1503" s="59" t="n"/>
      <c r="X1503" s="61" t="n"/>
      <c r="Y1503" s="61" t="n"/>
    </row>
    <row r="1504" ht="14.25" customHeight="1" s="86">
      <c r="E1504" s="53" t="inlineStr">
        <is>
          <t>MO</t>
        </is>
      </c>
      <c r="F1504" s="53" t="inlineStr">
        <is>
          <t>SALINE</t>
        </is>
      </c>
      <c r="G1504" s="59" t="n"/>
      <c r="N1504" s="59" t="n"/>
      <c r="O1504" s="59" t="n"/>
      <c r="X1504" s="61" t="n"/>
      <c r="Y1504" s="61" t="n"/>
    </row>
    <row r="1505" ht="14.25" customHeight="1" s="86">
      <c r="E1505" s="53" t="inlineStr">
        <is>
          <t>MO</t>
        </is>
      </c>
      <c r="F1505" s="53" t="inlineStr">
        <is>
          <t>SCHUYLER</t>
        </is>
      </c>
      <c r="G1505" s="59" t="n"/>
      <c r="N1505" s="59" t="n"/>
      <c r="O1505" s="59" t="n"/>
      <c r="X1505" s="61" t="n"/>
      <c r="Y1505" s="61" t="n"/>
    </row>
    <row r="1506" ht="14.25" customHeight="1" s="86">
      <c r="E1506" s="53" t="inlineStr">
        <is>
          <t>MO</t>
        </is>
      </c>
      <c r="F1506" s="53" t="inlineStr">
        <is>
          <t>SCOTLAND</t>
        </is>
      </c>
      <c r="G1506" s="59" t="n"/>
      <c r="N1506" s="59" t="n"/>
      <c r="O1506" s="59" t="n"/>
      <c r="X1506" s="61" t="n"/>
      <c r="Y1506" s="61" t="n"/>
    </row>
    <row r="1507" ht="14.25" customHeight="1" s="86">
      <c r="E1507" s="53" t="inlineStr">
        <is>
          <t>MO</t>
        </is>
      </c>
      <c r="F1507" s="53" t="inlineStr">
        <is>
          <t>SCOTT</t>
        </is>
      </c>
      <c r="G1507" s="59" t="n"/>
      <c r="N1507" s="59" t="n"/>
      <c r="O1507" s="59" t="n"/>
      <c r="X1507" s="61" t="n"/>
      <c r="Y1507" s="61" t="n"/>
    </row>
    <row r="1508" ht="14.25" customHeight="1" s="86">
      <c r="E1508" s="53" t="inlineStr">
        <is>
          <t>MO</t>
        </is>
      </c>
      <c r="F1508" s="53" t="inlineStr">
        <is>
          <t>SHANNON</t>
        </is>
      </c>
      <c r="G1508" s="59" t="n"/>
      <c r="N1508" s="59" t="n"/>
      <c r="O1508" s="59" t="n"/>
      <c r="X1508" s="61" t="n"/>
      <c r="Y1508" s="61" t="n"/>
    </row>
    <row r="1509" ht="14.25" customHeight="1" s="86">
      <c r="E1509" s="53" t="inlineStr">
        <is>
          <t>MO</t>
        </is>
      </c>
      <c r="F1509" s="53" t="inlineStr">
        <is>
          <t>SHELBY</t>
        </is>
      </c>
      <c r="G1509" s="59" t="n"/>
      <c r="N1509" s="59" t="n"/>
      <c r="O1509" s="59" t="n"/>
      <c r="X1509" s="61" t="n"/>
      <c r="Y1509" s="61" t="n"/>
    </row>
    <row r="1510" ht="14.25" customHeight="1" s="86">
      <c r="E1510" s="53" t="inlineStr">
        <is>
          <t>MO</t>
        </is>
      </c>
      <c r="F1510" s="53" t="inlineStr">
        <is>
          <t>STODDARD</t>
        </is>
      </c>
      <c r="G1510" s="59" t="n"/>
      <c r="N1510" s="59" t="n"/>
      <c r="O1510" s="59" t="n"/>
      <c r="X1510" s="61" t="n"/>
      <c r="Y1510" s="61" t="n"/>
    </row>
    <row r="1511" ht="14.25" customHeight="1" s="86">
      <c r="E1511" s="53" t="inlineStr">
        <is>
          <t>MO</t>
        </is>
      </c>
      <c r="F1511" s="53" t="inlineStr">
        <is>
          <t>STONE</t>
        </is>
      </c>
      <c r="G1511" s="59" t="n"/>
      <c r="N1511" s="59" t="n"/>
      <c r="O1511" s="59" t="n"/>
      <c r="X1511" s="61" t="n"/>
      <c r="Y1511" s="61" t="n"/>
    </row>
    <row r="1512" ht="14.25" customHeight="1" s="86">
      <c r="E1512" s="53" t="inlineStr">
        <is>
          <t>MO</t>
        </is>
      </c>
      <c r="F1512" s="53" t="inlineStr">
        <is>
          <t>SULLIVAN</t>
        </is>
      </c>
      <c r="G1512" s="59" t="n"/>
      <c r="N1512" s="59" t="n"/>
      <c r="O1512" s="59" t="n"/>
      <c r="X1512" s="61" t="n"/>
      <c r="Y1512" s="61" t="n"/>
    </row>
    <row r="1513" ht="14.25" customHeight="1" s="86">
      <c r="E1513" s="53" t="inlineStr">
        <is>
          <t>MO</t>
        </is>
      </c>
      <c r="F1513" s="53" t="inlineStr">
        <is>
          <t>TANEY</t>
        </is>
      </c>
      <c r="G1513" s="59" t="n"/>
      <c r="N1513" s="59" t="n"/>
      <c r="O1513" s="59" t="n"/>
      <c r="X1513" s="61" t="n"/>
      <c r="Y1513" s="61" t="n"/>
    </row>
    <row r="1514" ht="14.25" customHeight="1" s="86">
      <c r="E1514" s="53" t="inlineStr">
        <is>
          <t>MO</t>
        </is>
      </c>
      <c r="F1514" s="53" t="inlineStr">
        <is>
          <t>TEXAS</t>
        </is>
      </c>
      <c r="G1514" s="59" t="n"/>
      <c r="N1514" s="59" t="n"/>
      <c r="O1514" s="59" t="n"/>
      <c r="X1514" s="61" t="n"/>
      <c r="Y1514" s="61" t="n"/>
    </row>
    <row r="1515" ht="14.25" customHeight="1" s="86">
      <c r="E1515" s="53" t="inlineStr">
        <is>
          <t>MO</t>
        </is>
      </c>
      <c r="F1515" s="53" t="inlineStr">
        <is>
          <t>VERNON</t>
        </is>
      </c>
      <c r="G1515" s="59" t="n"/>
      <c r="N1515" s="59" t="n"/>
      <c r="O1515" s="59" t="n"/>
      <c r="X1515" s="61" t="n"/>
      <c r="Y1515" s="61" t="n"/>
    </row>
    <row r="1516" ht="14.25" customHeight="1" s="86">
      <c r="E1516" s="53" t="inlineStr">
        <is>
          <t>MO</t>
        </is>
      </c>
      <c r="F1516" s="53" t="inlineStr">
        <is>
          <t>WARREN</t>
        </is>
      </c>
      <c r="G1516" s="59" t="n"/>
      <c r="N1516" s="59" t="n"/>
      <c r="O1516" s="59" t="n"/>
      <c r="X1516" s="61" t="n"/>
      <c r="Y1516" s="61" t="n"/>
    </row>
    <row r="1517" ht="14.25" customHeight="1" s="86">
      <c r="E1517" s="53" t="inlineStr">
        <is>
          <t>MO</t>
        </is>
      </c>
      <c r="F1517" s="53" t="inlineStr">
        <is>
          <t>WASHINGTON</t>
        </is>
      </c>
      <c r="G1517" s="59" t="n"/>
      <c r="N1517" s="59" t="n"/>
      <c r="O1517" s="59" t="n"/>
      <c r="X1517" s="61" t="n"/>
      <c r="Y1517" s="61" t="n"/>
    </row>
    <row r="1518" ht="14.25" customHeight="1" s="86">
      <c r="E1518" s="53" t="inlineStr">
        <is>
          <t>MO</t>
        </is>
      </c>
      <c r="F1518" s="53" t="inlineStr">
        <is>
          <t>WAYNE</t>
        </is>
      </c>
      <c r="G1518" s="59" t="n"/>
      <c r="N1518" s="59" t="n"/>
      <c r="O1518" s="59" t="n"/>
      <c r="X1518" s="61" t="n"/>
      <c r="Y1518" s="61" t="n"/>
    </row>
    <row r="1519" ht="14.25" customHeight="1" s="86">
      <c r="E1519" s="53" t="inlineStr">
        <is>
          <t>MO</t>
        </is>
      </c>
      <c r="F1519" s="53" t="inlineStr">
        <is>
          <t>WEBSTER</t>
        </is>
      </c>
      <c r="G1519" s="59" t="n"/>
      <c r="N1519" s="59" t="n"/>
      <c r="O1519" s="59" t="n"/>
      <c r="X1519" s="61" t="n"/>
      <c r="Y1519" s="61" t="n"/>
    </row>
    <row r="1520" ht="14.25" customHeight="1" s="86">
      <c r="E1520" s="53" t="inlineStr">
        <is>
          <t>MO</t>
        </is>
      </c>
      <c r="F1520" s="53" t="inlineStr">
        <is>
          <t>WORTH</t>
        </is>
      </c>
      <c r="G1520" s="59" t="n"/>
      <c r="N1520" s="59" t="n"/>
      <c r="O1520" s="59" t="n"/>
      <c r="X1520" s="61" t="n"/>
      <c r="Y1520" s="61" t="n"/>
    </row>
    <row r="1521" ht="14.25" customHeight="1" s="86">
      <c r="E1521" s="53" t="inlineStr">
        <is>
          <t>MO</t>
        </is>
      </c>
      <c r="F1521" s="53" t="inlineStr">
        <is>
          <t>WRIGHT</t>
        </is>
      </c>
      <c r="G1521" s="59" t="n"/>
      <c r="N1521" s="59" t="n"/>
      <c r="O1521" s="59" t="n"/>
      <c r="X1521" s="61" t="n"/>
      <c r="Y1521" s="61" t="n"/>
    </row>
    <row r="1522" ht="14.25" customHeight="1" s="86">
      <c r="E1522" s="53" t="inlineStr">
        <is>
          <t>MP</t>
        </is>
      </c>
      <c r="F1522" s="53" t="inlineStr">
        <is>
          <t>NORTHERN MARIANA ISLANDS</t>
        </is>
      </c>
      <c r="G1522" s="59" t="n"/>
      <c r="N1522" s="59" t="n"/>
      <c r="O1522" s="59" t="n"/>
      <c r="X1522" s="61" t="n"/>
      <c r="Y1522" s="61" t="n"/>
    </row>
    <row r="1523" ht="14.25" customHeight="1" s="86">
      <c r="E1523" s="53" t="inlineStr">
        <is>
          <t>MS</t>
        </is>
      </c>
      <c r="F1523" s="53" t="inlineStr">
        <is>
          <t>ADAMS</t>
        </is>
      </c>
      <c r="G1523" s="59" t="n"/>
      <c r="N1523" s="59" t="n"/>
      <c r="O1523" s="59" t="n"/>
      <c r="X1523" s="61" t="n"/>
      <c r="Y1523" s="61" t="n"/>
    </row>
    <row r="1524" ht="14.25" customHeight="1" s="86">
      <c r="E1524" s="53" t="inlineStr">
        <is>
          <t>MS</t>
        </is>
      </c>
      <c r="F1524" s="53" t="inlineStr">
        <is>
          <t>ALCORN</t>
        </is>
      </c>
      <c r="G1524" s="59" t="n"/>
      <c r="N1524" s="59" t="n"/>
      <c r="O1524" s="59" t="n"/>
      <c r="X1524" s="61" t="n"/>
      <c r="Y1524" s="61" t="n"/>
    </row>
    <row r="1525" ht="14.25" customHeight="1" s="86">
      <c r="E1525" s="53" t="inlineStr">
        <is>
          <t>MS</t>
        </is>
      </c>
      <c r="F1525" s="53" t="inlineStr">
        <is>
          <t>AMITE</t>
        </is>
      </c>
      <c r="G1525" s="59" t="n"/>
      <c r="N1525" s="59" t="n"/>
      <c r="O1525" s="59" t="n"/>
      <c r="X1525" s="61" t="n"/>
      <c r="Y1525" s="61" t="n"/>
    </row>
    <row r="1526" ht="14.25" customHeight="1" s="86">
      <c r="E1526" s="53" t="inlineStr">
        <is>
          <t>MS</t>
        </is>
      </c>
      <c r="F1526" s="53" t="inlineStr">
        <is>
          <t>ATTALA</t>
        </is>
      </c>
      <c r="G1526" s="59" t="n"/>
      <c r="N1526" s="59" t="n"/>
      <c r="O1526" s="59" t="n"/>
      <c r="X1526" s="61" t="n"/>
      <c r="Y1526" s="61" t="n"/>
    </row>
    <row r="1527" ht="14.25" customHeight="1" s="86">
      <c r="E1527" s="53" t="inlineStr">
        <is>
          <t>MS</t>
        </is>
      </c>
      <c r="F1527" s="53" t="inlineStr">
        <is>
          <t>BENTON</t>
        </is>
      </c>
      <c r="G1527" s="59" t="n"/>
      <c r="N1527" s="59" t="n"/>
      <c r="O1527" s="59" t="n"/>
      <c r="X1527" s="61" t="n"/>
      <c r="Y1527" s="61" t="n"/>
    </row>
    <row r="1528" ht="14.25" customHeight="1" s="86">
      <c r="E1528" s="53" t="inlineStr">
        <is>
          <t>MS</t>
        </is>
      </c>
      <c r="F1528" s="53" t="inlineStr">
        <is>
          <t>BOLIVAR</t>
        </is>
      </c>
      <c r="G1528" s="59" t="n"/>
      <c r="N1528" s="59" t="n"/>
      <c r="O1528" s="59" t="n"/>
      <c r="X1528" s="61" t="n"/>
      <c r="Y1528" s="61" t="n"/>
    </row>
    <row r="1529" ht="14.25" customHeight="1" s="86">
      <c r="E1529" s="53" t="inlineStr">
        <is>
          <t>MS</t>
        </is>
      </c>
      <c r="F1529" s="53" t="inlineStr">
        <is>
          <t>CALHOUN</t>
        </is>
      </c>
      <c r="G1529" s="59" t="n"/>
      <c r="N1529" s="59" t="n"/>
      <c r="O1529" s="59" t="n"/>
      <c r="X1529" s="61" t="n"/>
      <c r="Y1529" s="61" t="n"/>
    </row>
    <row r="1530" ht="14.25" customHeight="1" s="86">
      <c r="E1530" s="53" t="inlineStr">
        <is>
          <t>MS</t>
        </is>
      </c>
      <c r="F1530" s="53" t="inlineStr">
        <is>
          <t>CARROLL</t>
        </is>
      </c>
      <c r="G1530" s="59" t="n"/>
      <c r="N1530" s="59" t="n"/>
      <c r="O1530" s="59" t="n"/>
      <c r="X1530" s="61" t="n"/>
      <c r="Y1530" s="61" t="n"/>
    </row>
    <row r="1531" ht="14.25" customHeight="1" s="86">
      <c r="E1531" s="53" t="inlineStr">
        <is>
          <t>MS</t>
        </is>
      </c>
      <c r="F1531" s="53" t="inlineStr">
        <is>
          <t>CHICKASAW</t>
        </is>
      </c>
      <c r="G1531" s="59" t="n"/>
      <c r="N1531" s="59" t="n"/>
      <c r="O1531" s="59" t="n"/>
      <c r="X1531" s="61" t="n"/>
      <c r="Y1531" s="61" t="n"/>
    </row>
    <row r="1532" ht="14.25" customHeight="1" s="86">
      <c r="E1532" s="53" t="inlineStr">
        <is>
          <t>MS</t>
        </is>
      </c>
      <c r="F1532" s="53" t="inlineStr">
        <is>
          <t>CHOCTAW</t>
        </is>
      </c>
      <c r="G1532" s="59" t="n"/>
      <c r="N1532" s="59" t="n"/>
      <c r="O1532" s="59" t="n"/>
      <c r="X1532" s="61" t="n"/>
      <c r="Y1532" s="61" t="n"/>
    </row>
    <row r="1533" ht="14.25" customHeight="1" s="86">
      <c r="E1533" s="53" t="inlineStr">
        <is>
          <t>MS</t>
        </is>
      </c>
      <c r="F1533" s="53" t="inlineStr">
        <is>
          <t>CLAIBORNE</t>
        </is>
      </c>
      <c r="G1533" s="59" t="n"/>
      <c r="N1533" s="59" t="n"/>
      <c r="O1533" s="59" t="n"/>
      <c r="X1533" s="61" t="n"/>
      <c r="Y1533" s="61" t="n"/>
    </row>
    <row r="1534" ht="14.25" customHeight="1" s="86">
      <c r="E1534" s="53" t="inlineStr">
        <is>
          <t>MS</t>
        </is>
      </c>
      <c r="F1534" s="53" t="inlineStr">
        <is>
          <t>CLARKE</t>
        </is>
      </c>
      <c r="G1534" s="59" t="n"/>
      <c r="N1534" s="59" t="n"/>
      <c r="O1534" s="59" t="n"/>
      <c r="X1534" s="61" t="n"/>
      <c r="Y1534" s="61" t="n"/>
    </row>
    <row r="1535" ht="14.25" customHeight="1" s="86">
      <c r="E1535" s="53" t="inlineStr">
        <is>
          <t>MS</t>
        </is>
      </c>
      <c r="F1535" s="53" t="inlineStr">
        <is>
          <t>CLAY</t>
        </is>
      </c>
      <c r="G1535" s="59" t="n"/>
      <c r="N1535" s="59" t="n"/>
      <c r="O1535" s="59" t="n"/>
      <c r="X1535" s="61" t="n"/>
      <c r="Y1535" s="61" t="n"/>
    </row>
    <row r="1536" ht="14.25" customHeight="1" s="86">
      <c r="E1536" s="53" t="inlineStr">
        <is>
          <t>MS</t>
        </is>
      </c>
      <c r="F1536" s="53" t="inlineStr">
        <is>
          <t>COAHOMA</t>
        </is>
      </c>
      <c r="G1536" s="59" t="n"/>
      <c r="N1536" s="59" t="n"/>
      <c r="O1536" s="59" t="n"/>
      <c r="X1536" s="61" t="n"/>
      <c r="Y1536" s="61" t="n"/>
    </row>
    <row r="1537" ht="14.25" customHeight="1" s="86">
      <c r="E1537" s="53" t="inlineStr">
        <is>
          <t>MS</t>
        </is>
      </c>
      <c r="F1537" s="53" t="inlineStr">
        <is>
          <t>COPIAH</t>
        </is>
      </c>
      <c r="G1537" s="59" t="n"/>
      <c r="N1537" s="59" t="n"/>
      <c r="O1537" s="59" t="n"/>
      <c r="X1537" s="61" t="n"/>
      <c r="Y1537" s="61" t="n"/>
    </row>
    <row r="1538" ht="14.25" customHeight="1" s="86">
      <c r="E1538" s="53" t="inlineStr">
        <is>
          <t>MS</t>
        </is>
      </c>
      <c r="F1538" s="53" t="inlineStr">
        <is>
          <t>COVINGTON</t>
        </is>
      </c>
      <c r="G1538" s="59" t="n"/>
      <c r="N1538" s="59" t="n"/>
      <c r="O1538" s="59" t="n"/>
      <c r="X1538" s="61" t="n"/>
      <c r="Y1538" s="61" t="n"/>
    </row>
    <row r="1539" ht="14.25" customHeight="1" s="86">
      <c r="E1539" s="53" t="inlineStr">
        <is>
          <t>MS</t>
        </is>
      </c>
      <c r="F1539" s="53" t="inlineStr">
        <is>
          <t>DESOTO</t>
        </is>
      </c>
      <c r="G1539" s="59" t="n"/>
      <c r="N1539" s="59" t="n"/>
      <c r="O1539" s="59" t="n"/>
      <c r="X1539" s="61" t="n"/>
      <c r="Y1539" s="61" t="n"/>
    </row>
    <row r="1540" ht="14.25" customHeight="1" s="86">
      <c r="E1540" s="53" t="inlineStr">
        <is>
          <t>MS</t>
        </is>
      </c>
      <c r="F1540" s="53" t="inlineStr">
        <is>
          <t>FORREST</t>
        </is>
      </c>
      <c r="G1540" s="59" t="n"/>
      <c r="N1540" s="59" t="n"/>
      <c r="O1540" s="59" t="n"/>
      <c r="X1540" s="61" t="n"/>
      <c r="Y1540" s="61" t="n"/>
    </row>
    <row r="1541" ht="14.25" customHeight="1" s="86">
      <c r="E1541" s="53" t="inlineStr">
        <is>
          <t>MS</t>
        </is>
      </c>
      <c r="F1541" s="53" t="inlineStr">
        <is>
          <t>FRANKLIN</t>
        </is>
      </c>
      <c r="G1541" s="59" t="n"/>
      <c r="N1541" s="59" t="n"/>
      <c r="O1541" s="59" t="n"/>
      <c r="X1541" s="61" t="n"/>
      <c r="Y1541" s="61" t="n"/>
    </row>
    <row r="1542" ht="14.25" customHeight="1" s="86">
      <c r="E1542" s="53" t="inlineStr">
        <is>
          <t>MS</t>
        </is>
      </c>
      <c r="F1542" s="53" t="inlineStr">
        <is>
          <t>GEORGE</t>
        </is>
      </c>
      <c r="G1542" s="59" t="n"/>
      <c r="N1542" s="59" t="n"/>
      <c r="O1542" s="59" t="n"/>
      <c r="X1542" s="61" t="n"/>
      <c r="Y1542" s="61" t="n"/>
    </row>
    <row r="1543" ht="14.25" customHeight="1" s="86">
      <c r="E1543" s="53" t="inlineStr">
        <is>
          <t>MS</t>
        </is>
      </c>
      <c r="F1543" s="53" t="inlineStr">
        <is>
          <t>GREENE</t>
        </is>
      </c>
      <c r="G1543" s="59" t="n"/>
      <c r="N1543" s="59" t="n"/>
      <c r="O1543" s="59" t="n"/>
      <c r="X1543" s="61" t="n"/>
      <c r="Y1543" s="61" t="n"/>
    </row>
    <row r="1544" ht="14.25" customHeight="1" s="86">
      <c r="E1544" s="53" t="inlineStr">
        <is>
          <t>MS</t>
        </is>
      </c>
      <c r="F1544" s="53" t="inlineStr">
        <is>
          <t>GRENADA</t>
        </is>
      </c>
      <c r="G1544" s="59" t="n"/>
      <c r="N1544" s="59" t="n"/>
      <c r="O1544" s="59" t="n"/>
      <c r="X1544" s="61" t="n"/>
      <c r="Y1544" s="61" t="n"/>
    </row>
    <row r="1545" ht="14.25" customHeight="1" s="86">
      <c r="E1545" s="53" t="inlineStr">
        <is>
          <t>MS</t>
        </is>
      </c>
      <c r="F1545" s="53" t="inlineStr">
        <is>
          <t>HANCOCK</t>
        </is>
      </c>
      <c r="G1545" s="59" t="n"/>
      <c r="N1545" s="59" t="n"/>
      <c r="O1545" s="59" t="n"/>
      <c r="X1545" s="61" t="n"/>
      <c r="Y1545" s="61" t="n"/>
    </row>
    <row r="1546" ht="14.25" customHeight="1" s="86">
      <c r="E1546" s="53" t="inlineStr">
        <is>
          <t>MS</t>
        </is>
      </c>
      <c r="F1546" s="53" t="inlineStr">
        <is>
          <t>HARRISON</t>
        </is>
      </c>
      <c r="G1546" s="59" t="n"/>
      <c r="N1546" s="59" t="n"/>
      <c r="O1546" s="59" t="n"/>
      <c r="X1546" s="61" t="n"/>
      <c r="Y1546" s="61" t="n"/>
    </row>
    <row r="1547" ht="14.25" customHeight="1" s="86">
      <c r="E1547" s="53" t="inlineStr">
        <is>
          <t>MS</t>
        </is>
      </c>
      <c r="F1547" s="53" t="inlineStr">
        <is>
          <t>HINDS</t>
        </is>
      </c>
      <c r="G1547" s="59" t="n"/>
      <c r="N1547" s="59" t="n"/>
      <c r="O1547" s="59" t="n"/>
      <c r="X1547" s="61" t="n"/>
      <c r="Y1547" s="61" t="n"/>
    </row>
    <row r="1548" ht="14.25" customHeight="1" s="86">
      <c r="E1548" s="53" t="inlineStr">
        <is>
          <t>MS</t>
        </is>
      </c>
      <c r="F1548" s="53" t="inlineStr">
        <is>
          <t>HOLMES</t>
        </is>
      </c>
      <c r="G1548" s="59" t="n"/>
      <c r="N1548" s="59" t="n"/>
      <c r="O1548" s="59" t="n"/>
      <c r="X1548" s="61" t="n"/>
      <c r="Y1548" s="61" t="n"/>
    </row>
    <row r="1549" ht="14.25" customHeight="1" s="86">
      <c r="E1549" s="53" t="inlineStr">
        <is>
          <t>MS</t>
        </is>
      </c>
      <c r="F1549" s="53" t="inlineStr">
        <is>
          <t>HUMPHREYS</t>
        </is>
      </c>
      <c r="G1549" s="59" t="n"/>
      <c r="N1549" s="59" t="n"/>
      <c r="O1549" s="59" t="n"/>
      <c r="X1549" s="61" t="n"/>
      <c r="Y1549" s="61" t="n"/>
    </row>
    <row r="1550" ht="14.25" customHeight="1" s="86">
      <c r="E1550" s="53" t="inlineStr">
        <is>
          <t>MS</t>
        </is>
      </c>
      <c r="F1550" s="53" t="inlineStr">
        <is>
          <t>ISSAQUENA</t>
        </is>
      </c>
      <c r="G1550" s="59" t="n"/>
      <c r="N1550" s="59" t="n"/>
      <c r="O1550" s="59" t="n"/>
      <c r="X1550" s="61" t="n"/>
      <c r="Y1550" s="61" t="n"/>
    </row>
    <row r="1551" ht="14.25" customHeight="1" s="86">
      <c r="E1551" s="53" t="inlineStr">
        <is>
          <t>MS</t>
        </is>
      </c>
      <c r="F1551" s="53" t="inlineStr">
        <is>
          <t>ITAWAMBA</t>
        </is>
      </c>
      <c r="G1551" s="59" t="n"/>
      <c r="N1551" s="59" t="n"/>
      <c r="O1551" s="59" t="n"/>
      <c r="X1551" s="61" t="n"/>
      <c r="Y1551" s="61" t="n"/>
    </row>
    <row r="1552" ht="14.25" customHeight="1" s="86">
      <c r="E1552" s="53" t="inlineStr">
        <is>
          <t>MS</t>
        </is>
      </c>
      <c r="F1552" s="53" t="inlineStr">
        <is>
          <t>JACKSON</t>
        </is>
      </c>
      <c r="G1552" s="59" t="n"/>
      <c r="N1552" s="59" t="n"/>
      <c r="O1552" s="59" t="n"/>
      <c r="X1552" s="61" t="n"/>
      <c r="Y1552" s="61" t="n"/>
    </row>
    <row r="1553" ht="14.25" customHeight="1" s="86">
      <c r="E1553" s="53" t="inlineStr">
        <is>
          <t>MS</t>
        </is>
      </c>
      <c r="F1553" s="53" t="inlineStr">
        <is>
          <t>JASPER</t>
        </is>
      </c>
      <c r="G1553" s="59" t="n"/>
      <c r="N1553" s="59" t="n"/>
      <c r="O1553" s="59" t="n"/>
      <c r="X1553" s="61" t="n"/>
      <c r="Y1553" s="61" t="n"/>
    </row>
    <row r="1554" ht="14.25" customHeight="1" s="86">
      <c r="E1554" s="53" t="inlineStr">
        <is>
          <t>MS</t>
        </is>
      </c>
      <c r="F1554" s="53" t="inlineStr">
        <is>
          <t>JEFFERSON</t>
        </is>
      </c>
      <c r="G1554" s="59" t="n"/>
      <c r="N1554" s="59" t="n"/>
      <c r="O1554" s="59" t="n"/>
      <c r="X1554" s="61" t="n"/>
      <c r="Y1554" s="61" t="n"/>
    </row>
    <row r="1555" ht="14.25" customHeight="1" s="86">
      <c r="E1555" s="53" t="inlineStr">
        <is>
          <t>MS</t>
        </is>
      </c>
      <c r="F1555" s="53" t="inlineStr">
        <is>
          <t>JEFFERSON DAVIS</t>
        </is>
      </c>
      <c r="G1555" s="59" t="n"/>
      <c r="N1555" s="59" t="n"/>
      <c r="O1555" s="59" t="n"/>
      <c r="X1555" s="61" t="n"/>
      <c r="Y1555" s="61" t="n"/>
    </row>
    <row r="1556" ht="14.25" customHeight="1" s="86">
      <c r="E1556" s="53" t="inlineStr">
        <is>
          <t>MS</t>
        </is>
      </c>
      <c r="F1556" s="53" t="inlineStr">
        <is>
          <t>JONES</t>
        </is>
      </c>
      <c r="G1556" s="59" t="n"/>
      <c r="N1556" s="59" t="n"/>
      <c r="O1556" s="59" t="n"/>
      <c r="X1556" s="61" t="n"/>
      <c r="Y1556" s="61" t="n"/>
    </row>
    <row r="1557" ht="14.25" customHeight="1" s="86">
      <c r="E1557" s="53" t="inlineStr">
        <is>
          <t>MS</t>
        </is>
      </c>
      <c r="F1557" s="53" t="inlineStr">
        <is>
          <t>KEMPER</t>
        </is>
      </c>
      <c r="G1557" s="59" t="n"/>
      <c r="N1557" s="59" t="n"/>
      <c r="O1557" s="59" t="n"/>
      <c r="X1557" s="61" t="n"/>
      <c r="Y1557" s="61" t="n"/>
    </row>
    <row r="1558" ht="14.25" customHeight="1" s="86">
      <c r="E1558" s="53" t="inlineStr">
        <is>
          <t>MS</t>
        </is>
      </c>
      <c r="F1558" s="53" t="inlineStr">
        <is>
          <t>LAFAYETTE</t>
        </is>
      </c>
      <c r="G1558" s="59" t="n"/>
      <c r="N1558" s="59" t="n"/>
      <c r="O1558" s="59" t="n"/>
      <c r="X1558" s="61" t="n"/>
      <c r="Y1558" s="61" t="n"/>
    </row>
    <row r="1559" ht="14.25" customHeight="1" s="86">
      <c r="E1559" s="53" t="inlineStr">
        <is>
          <t>MS</t>
        </is>
      </c>
      <c r="F1559" s="53" t="inlineStr">
        <is>
          <t>LAMAR</t>
        </is>
      </c>
      <c r="G1559" s="59" t="n"/>
      <c r="N1559" s="59" t="n"/>
      <c r="O1559" s="59" t="n"/>
      <c r="X1559" s="61" t="n"/>
      <c r="Y1559" s="61" t="n"/>
    </row>
    <row r="1560" ht="14.25" customHeight="1" s="86">
      <c r="E1560" s="53" t="inlineStr">
        <is>
          <t>MS</t>
        </is>
      </c>
      <c r="F1560" s="53" t="inlineStr">
        <is>
          <t>LAUDERDALE</t>
        </is>
      </c>
      <c r="G1560" s="59" t="n"/>
      <c r="N1560" s="59" t="n"/>
      <c r="O1560" s="59" t="n"/>
      <c r="X1560" s="61" t="n"/>
      <c r="Y1560" s="61" t="n"/>
    </row>
    <row r="1561" ht="14.25" customHeight="1" s="86">
      <c r="E1561" s="53" t="inlineStr">
        <is>
          <t>MS</t>
        </is>
      </c>
      <c r="F1561" s="53" t="inlineStr">
        <is>
          <t>LAWRENCE</t>
        </is>
      </c>
      <c r="G1561" s="59" t="n"/>
      <c r="N1561" s="59" t="n"/>
      <c r="O1561" s="59" t="n"/>
      <c r="X1561" s="61" t="n"/>
      <c r="Y1561" s="61" t="n"/>
    </row>
    <row r="1562" ht="14.25" customHeight="1" s="86">
      <c r="E1562" s="53" t="inlineStr">
        <is>
          <t>MS</t>
        </is>
      </c>
      <c r="F1562" s="53" t="inlineStr">
        <is>
          <t>LEAKE</t>
        </is>
      </c>
      <c r="G1562" s="59" t="n"/>
      <c r="N1562" s="59" t="n"/>
      <c r="O1562" s="59" t="n"/>
      <c r="X1562" s="61" t="n"/>
      <c r="Y1562" s="61" t="n"/>
    </row>
    <row r="1563" ht="14.25" customHeight="1" s="86">
      <c r="E1563" s="53" t="inlineStr">
        <is>
          <t>MS</t>
        </is>
      </c>
      <c r="F1563" s="53" t="inlineStr">
        <is>
          <t>LEE</t>
        </is>
      </c>
      <c r="G1563" s="59" t="n"/>
      <c r="N1563" s="59" t="n"/>
      <c r="O1563" s="59" t="n"/>
      <c r="X1563" s="61" t="n"/>
      <c r="Y1563" s="61" t="n"/>
    </row>
    <row r="1564" ht="14.25" customHeight="1" s="86">
      <c r="E1564" s="53" t="inlineStr">
        <is>
          <t>MS</t>
        </is>
      </c>
      <c r="F1564" s="53" t="inlineStr">
        <is>
          <t>LEFLORE</t>
        </is>
      </c>
      <c r="G1564" s="59" t="n"/>
      <c r="N1564" s="59" t="n"/>
      <c r="O1564" s="59" t="n"/>
      <c r="X1564" s="61" t="n"/>
      <c r="Y1564" s="61" t="n"/>
    </row>
    <row r="1565" ht="14.25" customHeight="1" s="86">
      <c r="E1565" s="53" t="inlineStr">
        <is>
          <t>MS</t>
        </is>
      </c>
      <c r="F1565" s="53" t="inlineStr">
        <is>
          <t>LINCOLN</t>
        </is>
      </c>
      <c r="G1565" s="59" t="n"/>
      <c r="N1565" s="59" t="n"/>
      <c r="O1565" s="59" t="n"/>
      <c r="X1565" s="61" t="n"/>
      <c r="Y1565" s="61" t="n"/>
    </row>
    <row r="1566" ht="14.25" customHeight="1" s="86">
      <c r="E1566" s="53" t="inlineStr">
        <is>
          <t>MS</t>
        </is>
      </c>
      <c r="F1566" s="53" t="inlineStr">
        <is>
          <t>LOWNDES</t>
        </is>
      </c>
      <c r="G1566" s="59" t="n"/>
      <c r="N1566" s="59" t="n"/>
      <c r="O1566" s="59" t="n"/>
      <c r="X1566" s="61" t="n"/>
      <c r="Y1566" s="61" t="n"/>
    </row>
    <row r="1567" ht="14.25" customHeight="1" s="86">
      <c r="E1567" s="53" t="inlineStr">
        <is>
          <t>MS</t>
        </is>
      </c>
      <c r="F1567" s="53" t="inlineStr">
        <is>
          <t>MADISON</t>
        </is>
      </c>
      <c r="G1567" s="59" t="n"/>
      <c r="N1567" s="59" t="n"/>
      <c r="O1567" s="59" t="n"/>
      <c r="X1567" s="61" t="n"/>
      <c r="Y1567" s="61" t="n"/>
    </row>
    <row r="1568" ht="14.25" customHeight="1" s="86">
      <c r="E1568" s="53" t="inlineStr">
        <is>
          <t>MS</t>
        </is>
      </c>
      <c r="F1568" s="53" t="inlineStr">
        <is>
          <t>MARION</t>
        </is>
      </c>
      <c r="G1568" s="59" t="n"/>
      <c r="N1568" s="59" t="n"/>
      <c r="O1568" s="59" t="n"/>
      <c r="X1568" s="61" t="n"/>
      <c r="Y1568" s="61" t="n"/>
    </row>
    <row r="1569" ht="14.25" customHeight="1" s="86">
      <c r="E1569" s="53" t="inlineStr">
        <is>
          <t>MS</t>
        </is>
      </c>
      <c r="F1569" s="53" t="inlineStr">
        <is>
          <t>MARSHALL</t>
        </is>
      </c>
      <c r="G1569" s="59" t="n"/>
      <c r="N1569" s="59" t="n"/>
      <c r="O1569" s="59" t="n"/>
      <c r="X1569" s="61" t="n"/>
      <c r="Y1569" s="61" t="n"/>
    </row>
    <row r="1570" ht="14.25" customHeight="1" s="86">
      <c r="E1570" s="53" t="inlineStr">
        <is>
          <t>MS</t>
        </is>
      </c>
      <c r="F1570" s="53" t="inlineStr">
        <is>
          <t>MONROE</t>
        </is>
      </c>
      <c r="G1570" s="59" t="n"/>
      <c r="N1570" s="59" t="n"/>
      <c r="O1570" s="59" t="n"/>
      <c r="X1570" s="61" t="n"/>
      <c r="Y1570" s="61" t="n"/>
    </row>
    <row r="1571" ht="14.25" customHeight="1" s="86">
      <c r="E1571" s="53" t="inlineStr">
        <is>
          <t>MS</t>
        </is>
      </c>
      <c r="F1571" s="53" t="inlineStr">
        <is>
          <t>MONTGOMERY</t>
        </is>
      </c>
      <c r="G1571" s="59" t="n"/>
      <c r="N1571" s="59" t="n"/>
      <c r="O1571" s="59" t="n"/>
      <c r="X1571" s="61" t="n"/>
      <c r="Y1571" s="61" t="n"/>
    </row>
    <row r="1572" ht="14.25" customHeight="1" s="86">
      <c r="E1572" s="53" t="inlineStr">
        <is>
          <t>MS</t>
        </is>
      </c>
      <c r="F1572" s="53" t="inlineStr">
        <is>
          <t>NESHOBA</t>
        </is>
      </c>
      <c r="G1572" s="59" t="n"/>
      <c r="N1572" s="59" t="n"/>
      <c r="O1572" s="59" t="n"/>
      <c r="X1572" s="61" t="n"/>
      <c r="Y1572" s="61" t="n"/>
    </row>
    <row r="1573" ht="14.25" customHeight="1" s="86">
      <c r="E1573" s="53" t="inlineStr">
        <is>
          <t>MS</t>
        </is>
      </c>
      <c r="F1573" s="53" t="inlineStr">
        <is>
          <t>NEWTON</t>
        </is>
      </c>
      <c r="G1573" s="59" t="n"/>
      <c r="N1573" s="59" t="n"/>
      <c r="O1573" s="59" t="n"/>
      <c r="X1573" s="61" t="n"/>
      <c r="Y1573" s="61" t="n"/>
    </row>
    <row r="1574" ht="14.25" customHeight="1" s="86">
      <c r="E1574" s="53" t="inlineStr">
        <is>
          <t>MS</t>
        </is>
      </c>
      <c r="F1574" s="53" t="inlineStr">
        <is>
          <t>NOXUBEE</t>
        </is>
      </c>
      <c r="G1574" s="59" t="n"/>
      <c r="N1574" s="59" t="n"/>
      <c r="O1574" s="59" t="n"/>
      <c r="X1574" s="61" t="n"/>
      <c r="Y1574" s="61" t="n"/>
    </row>
    <row r="1575" ht="14.25" customHeight="1" s="86">
      <c r="E1575" s="53" t="inlineStr">
        <is>
          <t>MS</t>
        </is>
      </c>
      <c r="F1575" s="53" t="inlineStr">
        <is>
          <t>OKTIBBEHA</t>
        </is>
      </c>
      <c r="G1575" s="59" t="n"/>
      <c r="N1575" s="59" t="n"/>
      <c r="O1575" s="59" t="n"/>
      <c r="X1575" s="61" t="n"/>
      <c r="Y1575" s="61" t="n"/>
    </row>
    <row r="1576" ht="14.25" customHeight="1" s="86">
      <c r="E1576" s="53" t="inlineStr">
        <is>
          <t>MS</t>
        </is>
      </c>
      <c r="F1576" s="53" t="inlineStr">
        <is>
          <t>PANOLA</t>
        </is>
      </c>
      <c r="G1576" s="59" t="n"/>
      <c r="N1576" s="59" t="n"/>
      <c r="O1576" s="59" t="n"/>
      <c r="X1576" s="61" t="n"/>
      <c r="Y1576" s="61" t="n"/>
    </row>
    <row r="1577" ht="14.25" customHeight="1" s="86">
      <c r="E1577" s="53" t="inlineStr">
        <is>
          <t>MS</t>
        </is>
      </c>
      <c r="F1577" s="53" t="inlineStr">
        <is>
          <t>PEARL RIVER</t>
        </is>
      </c>
      <c r="G1577" s="59" t="n"/>
      <c r="N1577" s="59" t="n"/>
      <c r="O1577" s="59" t="n"/>
      <c r="X1577" s="61" t="n"/>
      <c r="Y1577" s="61" t="n"/>
    </row>
    <row r="1578" ht="14.25" customHeight="1" s="86">
      <c r="E1578" s="53" t="inlineStr">
        <is>
          <t>MS</t>
        </is>
      </c>
      <c r="F1578" s="53" t="inlineStr">
        <is>
          <t>PERRY</t>
        </is>
      </c>
      <c r="G1578" s="59" t="n"/>
      <c r="N1578" s="59" t="n"/>
      <c r="O1578" s="59" t="n"/>
      <c r="X1578" s="61" t="n"/>
      <c r="Y1578" s="61" t="n"/>
    </row>
    <row r="1579" ht="14.25" customHeight="1" s="86">
      <c r="E1579" s="53" t="inlineStr">
        <is>
          <t>MS</t>
        </is>
      </c>
      <c r="F1579" s="53" t="inlineStr">
        <is>
          <t>PIKE</t>
        </is>
      </c>
      <c r="G1579" s="59" t="n"/>
      <c r="N1579" s="59" t="n"/>
      <c r="O1579" s="59" t="n"/>
      <c r="X1579" s="61" t="n"/>
      <c r="Y1579" s="61" t="n"/>
    </row>
    <row r="1580" ht="14.25" customHeight="1" s="86">
      <c r="E1580" s="53" t="inlineStr">
        <is>
          <t>MS</t>
        </is>
      </c>
      <c r="F1580" s="53" t="inlineStr">
        <is>
          <t>PONTOTOC</t>
        </is>
      </c>
      <c r="G1580" s="59" t="n"/>
      <c r="N1580" s="59" t="n"/>
      <c r="O1580" s="59" t="n"/>
      <c r="X1580" s="61" t="n"/>
      <c r="Y1580" s="61" t="n"/>
    </row>
    <row r="1581" ht="14.25" customHeight="1" s="86">
      <c r="E1581" s="53" t="inlineStr">
        <is>
          <t>MS</t>
        </is>
      </c>
      <c r="F1581" s="53" t="inlineStr">
        <is>
          <t>PRENTISS</t>
        </is>
      </c>
      <c r="G1581" s="59" t="n"/>
      <c r="N1581" s="59" t="n"/>
      <c r="O1581" s="59" t="n"/>
      <c r="X1581" s="61" t="n"/>
      <c r="Y1581" s="61" t="n"/>
    </row>
    <row r="1582" ht="14.25" customHeight="1" s="86">
      <c r="E1582" s="53" t="inlineStr">
        <is>
          <t>MS</t>
        </is>
      </c>
      <c r="F1582" s="53" t="inlineStr">
        <is>
          <t>QUITMAN</t>
        </is>
      </c>
      <c r="G1582" s="59" t="n"/>
      <c r="N1582" s="59" t="n"/>
      <c r="O1582" s="59" t="n"/>
      <c r="X1582" s="61" t="n"/>
      <c r="Y1582" s="61" t="n"/>
    </row>
    <row r="1583" ht="14.25" customHeight="1" s="86">
      <c r="E1583" s="53" t="inlineStr">
        <is>
          <t>MS</t>
        </is>
      </c>
      <c r="F1583" s="53" t="inlineStr">
        <is>
          <t>RANKIN</t>
        </is>
      </c>
      <c r="G1583" s="59" t="n"/>
      <c r="N1583" s="59" t="n"/>
      <c r="O1583" s="59" t="n"/>
      <c r="X1583" s="61" t="n"/>
      <c r="Y1583" s="61" t="n"/>
    </row>
    <row r="1584" ht="14.25" customHeight="1" s="86">
      <c r="E1584" s="53" t="inlineStr">
        <is>
          <t>MS</t>
        </is>
      </c>
      <c r="F1584" s="53" t="inlineStr">
        <is>
          <t>SCOTT</t>
        </is>
      </c>
      <c r="G1584" s="59" t="n"/>
      <c r="N1584" s="59" t="n"/>
      <c r="O1584" s="59" t="n"/>
      <c r="X1584" s="61" t="n"/>
      <c r="Y1584" s="61" t="n"/>
    </row>
    <row r="1585" ht="14.25" customHeight="1" s="86">
      <c r="E1585" s="53" t="inlineStr">
        <is>
          <t>MS</t>
        </is>
      </c>
      <c r="F1585" s="53" t="inlineStr">
        <is>
          <t>SHARKEY</t>
        </is>
      </c>
      <c r="G1585" s="59" t="n"/>
      <c r="N1585" s="59" t="n"/>
      <c r="O1585" s="59" t="n"/>
      <c r="X1585" s="61" t="n"/>
      <c r="Y1585" s="61" t="n"/>
    </row>
    <row r="1586" ht="14.25" customHeight="1" s="86">
      <c r="E1586" s="53" t="inlineStr">
        <is>
          <t>MS</t>
        </is>
      </c>
      <c r="F1586" s="53" t="inlineStr">
        <is>
          <t>SIMPSON</t>
        </is>
      </c>
      <c r="G1586" s="59" t="n"/>
      <c r="N1586" s="59" t="n"/>
      <c r="O1586" s="59" t="n"/>
      <c r="X1586" s="61" t="n"/>
      <c r="Y1586" s="61" t="n"/>
    </row>
    <row r="1587" ht="14.25" customHeight="1" s="86">
      <c r="E1587" s="53" t="inlineStr">
        <is>
          <t>MS</t>
        </is>
      </c>
      <c r="F1587" s="53" t="inlineStr">
        <is>
          <t>SMITH</t>
        </is>
      </c>
      <c r="G1587" s="59" t="n"/>
      <c r="N1587" s="59" t="n"/>
      <c r="O1587" s="59" t="n"/>
      <c r="X1587" s="61" t="n"/>
      <c r="Y1587" s="61" t="n"/>
    </row>
    <row r="1588" ht="14.25" customHeight="1" s="86">
      <c r="E1588" s="53" t="inlineStr">
        <is>
          <t>MS</t>
        </is>
      </c>
      <c r="F1588" s="53" t="inlineStr">
        <is>
          <t>STONE</t>
        </is>
      </c>
      <c r="G1588" s="59" t="n"/>
      <c r="N1588" s="59" t="n"/>
      <c r="O1588" s="59" t="n"/>
      <c r="X1588" s="61" t="n"/>
      <c r="Y1588" s="61" t="n"/>
    </row>
    <row r="1589" ht="14.25" customHeight="1" s="86">
      <c r="E1589" s="53" t="inlineStr">
        <is>
          <t>MS</t>
        </is>
      </c>
      <c r="F1589" s="53" t="inlineStr">
        <is>
          <t>SUNFLOWER</t>
        </is>
      </c>
      <c r="G1589" s="59" t="n"/>
      <c r="N1589" s="59" t="n"/>
      <c r="O1589" s="59" t="n"/>
      <c r="X1589" s="61" t="n"/>
      <c r="Y1589" s="61" t="n"/>
    </row>
    <row r="1590" ht="14.25" customHeight="1" s="86">
      <c r="E1590" s="53" t="inlineStr">
        <is>
          <t>MS</t>
        </is>
      </c>
      <c r="F1590" s="53" t="inlineStr">
        <is>
          <t>TALLAHATCHIE</t>
        </is>
      </c>
      <c r="G1590" s="59" t="n"/>
      <c r="N1590" s="59" t="n"/>
      <c r="O1590" s="59" t="n"/>
      <c r="X1590" s="61" t="n"/>
      <c r="Y1590" s="61" t="n"/>
    </row>
    <row r="1591" ht="14.25" customHeight="1" s="86">
      <c r="E1591" s="53" t="inlineStr">
        <is>
          <t>MS</t>
        </is>
      </c>
      <c r="F1591" s="53" t="inlineStr">
        <is>
          <t>TATE</t>
        </is>
      </c>
      <c r="G1591" s="59" t="n"/>
      <c r="N1591" s="59" t="n"/>
      <c r="O1591" s="59" t="n"/>
      <c r="X1591" s="61" t="n"/>
      <c r="Y1591" s="61" t="n"/>
    </row>
    <row r="1592" ht="14.25" customHeight="1" s="86">
      <c r="E1592" s="53" t="inlineStr">
        <is>
          <t>MS</t>
        </is>
      </c>
      <c r="F1592" s="53" t="inlineStr">
        <is>
          <t>TIPPAH</t>
        </is>
      </c>
      <c r="G1592" s="59" t="n"/>
      <c r="N1592" s="59" t="n"/>
      <c r="O1592" s="59" t="n"/>
      <c r="X1592" s="61" t="n"/>
      <c r="Y1592" s="61" t="n"/>
    </row>
    <row r="1593" ht="14.25" customHeight="1" s="86">
      <c r="E1593" s="53" t="inlineStr">
        <is>
          <t>MS</t>
        </is>
      </c>
      <c r="F1593" s="53" t="inlineStr">
        <is>
          <t>TISHOMINGO</t>
        </is>
      </c>
      <c r="G1593" s="59" t="n"/>
      <c r="N1593" s="59" t="n"/>
      <c r="O1593" s="59" t="n"/>
      <c r="X1593" s="61" t="n"/>
      <c r="Y1593" s="61" t="n"/>
    </row>
    <row r="1594" ht="14.25" customHeight="1" s="86">
      <c r="E1594" s="53" t="inlineStr">
        <is>
          <t>MS</t>
        </is>
      </c>
      <c r="F1594" s="53" t="inlineStr">
        <is>
          <t>TUNICA</t>
        </is>
      </c>
      <c r="G1594" s="59" t="n"/>
      <c r="N1594" s="59" t="n"/>
      <c r="O1594" s="59" t="n"/>
      <c r="X1594" s="61" t="n"/>
      <c r="Y1594" s="61" t="n"/>
    </row>
    <row r="1595" ht="14.25" customHeight="1" s="86">
      <c r="E1595" s="53" t="inlineStr">
        <is>
          <t>MS</t>
        </is>
      </c>
      <c r="F1595" s="53" t="inlineStr">
        <is>
          <t>UNION</t>
        </is>
      </c>
      <c r="G1595" s="59" t="n"/>
      <c r="N1595" s="59" t="n"/>
      <c r="O1595" s="59" t="n"/>
      <c r="X1595" s="61" t="n"/>
      <c r="Y1595" s="61" t="n"/>
    </row>
    <row r="1596" ht="14.25" customHeight="1" s="86">
      <c r="E1596" s="53" t="inlineStr">
        <is>
          <t>MS</t>
        </is>
      </c>
      <c r="F1596" s="53" t="inlineStr">
        <is>
          <t>WALTHALL</t>
        </is>
      </c>
      <c r="G1596" s="59" t="n"/>
      <c r="N1596" s="59" t="n"/>
      <c r="O1596" s="59" t="n"/>
      <c r="X1596" s="61" t="n"/>
      <c r="Y1596" s="61" t="n"/>
    </row>
    <row r="1597" ht="14.25" customHeight="1" s="86">
      <c r="E1597" s="53" t="inlineStr">
        <is>
          <t>MS</t>
        </is>
      </c>
      <c r="F1597" s="53" t="inlineStr">
        <is>
          <t>WARREN</t>
        </is>
      </c>
      <c r="G1597" s="59" t="n"/>
      <c r="N1597" s="59" t="n"/>
      <c r="O1597" s="59" t="n"/>
      <c r="X1597" s="61" t="n"/>
      <c r="Y1597" s="61" t="n"/>
    </row>
    <row r="1598" ht="14.25" customHeight="1" s="86">
      <c r="E1598" s="53" t="inlineStr">
        <is>
          <t>MS</t>
        </is>
      </c>
      <c r="F1598" s="53" t="inlineStr">
        <is>
          <t>WASHINGTON</t>
        </is>
      </c>
      <c r="G1598" s="59" t="n"/>
      <c r="N1598" s="59" t="n"/>
      <c r="O1598" s="59" t="n"/>
      <c r="X1598" s="61" t="n"/>
      <c r="Y1598" s="61" t="n"/>
    </row>
    <row r="1599" ht="14.25" customHeight="1" s="86">
      <c r="E1599" s="53" t="inlineStr">
        <is>
          <t>MS</t>
        </is>
      </c>
      <c r="F1599" s="53" t="inlineStr">
        <is>
          <t>WAYNE</t>
        </is>
      </c>
      <c r="G1599" s="59" t="n"/>
      <c r="N1599" s="59" t="n"/>
      <c r="O1599" s="59" t="n"/>
      <c r="X1599" s="61" t="n"/>
      <c r="Y1599" s="61" t="n"/>
    </row>
    <row r="1600" ht="14.25" customHeight="1" s="86">
      <c r="E1600" s="53" t="inlineStr">
        <is>
          <t>MS</t>
        </is>
      </c>
      <c r="F1600" s="53" t="inlineStr">
        <is>
          <t>WEBSTER</t>
        </is>
      </c>
      <c r="G1600" s="59" t="n"/>
      <c r="N1600" s="59" t="n"/>
      <c r="O1600" s="59" t="n"/>
      <c r="X1600" s="61" t="n"/>
      <c r="Y1600" s="61" t="n"/>
    </row>
    <row r="1601" ht="14.25" customHeight="1" s="86">
      <c r="E1601" s="53" t="inlineStr">
        <is>
          <t>MS</t>
        </is>
      </c>
      <c r="F1601" s="53" t="inlineStr">
        <is>
          <t>WILKINSON</t>
        </is>
      </c>
      <c r="G1601" s="59" t="n"/>
      <c r="N1601" s="59" t="n"/>
      <c r="O1601" s="59" t="n"/>
      <c r="X1601" s="61" t="n"/>
      <c r="Y1601" s="61" t="n"/>
    </row>
    <row r="1602" ht="14.25" customHeight="1" s="86">
      <c r="E1602" s="53" t="inlineStr">
        <is>
          <t>MS</t>
        </is>
      </c>
      <c r="F1602" s="53" t="inlineStr">
        <is>
          <t>WINSTON</t>
        </is>
      </c>
      <c r="G1602" s="59" t="n"/>
      <c r="N1602" s="59" t="n"/>
      <c r="O1602" s="59" t="n"/>
      <c r="X1602" s="61" t="n"/>
      <c r="Y1602" s="61" t="n"/>
    </row>
    <row r="1603" ht="14.25" customHeight="1" s="86">
      <c r="E1603" s="53" t="inlineStr">
        <is>
          <t>MS</t>
        </is>
      </c>
      <c r="F1603" s="53" t="inlineStr">
        <is>
          <t>YALOBUSHA</t>
        </is>
      </c>
      <c r="G1603" s="59" t="n"/>
      <c r="N1603" s="59" t="n"/>
      <c r="O1603" s="59" t="n"/>
      <c r="X1603" s="61" t="n"/>
      <c r="Y1603" s="61" t="n"/>
    </row>
    <row r="1604" ht="14.25" customHeight="1" s="86">
      <c r="E1604" s="53" t="inlineStr">
        <is>
          <t>MS</t>
        </is>
      </c>
      <c r="F1604" s="53" t="inlineStr">
        <is>
          <t>YAZOO</t>
        </is>
      </c>
      <c r="G1604" s="59" t="n"/>
      <c r="N1604" s="59" t="n"/>
      <c r="O1604" s="59" t="n"/>
      <c r="X1604" s="61" t="n"/>
      <c r="Y1604" s="61" t="n"/>
    </row>
    <row r="1605" ht="14.25" customHeight="1" s="86">
      <c r="E1605" s="53" t="inlineStr">
        <is>
          <t>MT</t>
        </is>
      </c>
      <c r="F1605" s="53" t="inlineStr">
        <is>
          <t>BEAVERHEAD</t>
        </is>
      </c>
      <c r="G1605" s="59" t="n"/>
      <c r="N1605" s="59" t="n"/>
      <c r="O1605" s="59" t="n"/>
      <c r="X1605" s="61" t="n"/>
      <c r="Y1605" s="61" t="n"/>
    </row>
    <row r="1606" ht="14.25" customHeight="1" s="86">
      <c r="E1606" s="53" t="inlineStr">
        <is>
          <t>MT</t>
        </is>
      </c>
      <c r="F1606" s="53" t="inlineStr">
        <is>
          <t>BIG HORN</t>
        </is>
      </c>
      <c r="G1606" s="59" t="n"/>
      <c r="N1606" s="59" t="n"/>
      <c r="O1606" s="59" t="n"/>
      <c r="X1606" s="61" t="n"/>
      <c r="Y1606" s="61" t="n"/>
    </row>
    <row r="1607" ht="14.25" customHeight="1" s="86">
      <c r="E1607" s="53" t="inlineStr">
        <is>
          <t>MT</t>
        </is>
      </c>
      <c r="F1607" s="53" t="inlineStr">
        <is>
          <t>BLAINE</t>
        </is>
      </c>
      <c r="G1607" s="59" t="n"/>
      <c r="N1607" s="59" t="n"/>
      <c r="O1607" s="59" t="n"/>
      <c r="X1607" s="61" t="n"/>
      <c r="Y1607" s="61" t="n"/>
    </row>
    <row r="1608" ht="14.25" customHeight="1" s="86">
      <c r="E1608" s="53" t="inlineStr">
        <is>
          <t>MT</t>
        </is>
      </c>
      <c r="F1608" s="53" t="inlineStr">
        <is>
          <t>BROADWATER</t>
        </is>
      </c>
      <c r="G1608" s="59" t="n"/>
      <c r="N1608" s="59" t="n"/>
      <c r="O1608" s="59" t="n"/>
      <c r="X1608" s="61" t="n"/>
      <c r="Y1608" s="61" t="n"/>
    </row>
    <row r="1609" ht="14.25" customHeight="1" s="86">
      <c r="E1609" s="53" t="inlineStr">
        <is>
          <t>MT</t>
        </is>
      </c>
      <c r="F1609" s="53" t="inlineStr">
        <is>
          <t>CARBON</t>
        </is>
      </c>
      <c r="G1609" s="59" t="n"/>
      <c r="N1609" s="59" t="n"/>
      <c r="O1609" s="59" t="n"/>
      <c r="X1609" s="61" t="n"/>
      <c r="Y1609" s="61" t="n"/>
    </row>
    <row r="1610" ht="14.25" customHeight="1" s="86">
      <c r="E1610" s="53" t="inlineStr">
        <is>
          <t>MT</t>
        </is>
      </c>
      <c r="F1610" s="53" t="inlineStr">
        <is>
          <t>CARTER</t>
        </is>
      </c>
      <c r="G1610" s="59" t="n"/>
      <c r="N1610" s="59" t="n"/>
      <c r="O1610" s="59" t="n"/>
      <c r="X1610" s="61" t="n"/>
      <c r="Y1610" s="61" t="n"/>
    </row>
    <row r="1611" ht="14.25" customHeight="1" s="86">
      <c r="E1611" s="53" t="inlineStr">
        <is>
          <t>MT</t>
        </is>
      </c>
      <c r="F1611" s="53" t="inlineStr">
        <is>
          <t>CASCADE</t>
        </is>
      </c>
      <c r="G1611" s="59" t="n"/>
      <c r="N1611" s="59" t="n"/>
      <c r="O1611" s="59" t="n"/>
      <c r="X1611" s="61" t="n"/>
      <c r="Y1611" s="61" t="n"/>
    </row>
    <row r="1612" ht="14.25" customHeight="1" s="86">
      <c r="E1612" s="53" t="inlineStr">
        <is>
          <t>MT</t>
        </is>
      </c>
      <c r="F1612" s="53" t="inlineStr">
        <is>
          <t>CHOUTEAU</t>
        </is>
      </c>
      <c r="G1612" s="59" t="n"/>
      <c r="N1612" s="59" t="n"/>
      <c r="O1612" s="59" t="n"/>
      <c r="X1612" s="61" t="n"/>
      <c r="Y1612" s="61" t="n"/>
    </row>
    <row r="1613" ht="14.25" customHeight="1" s="86">
      <c r="E1613" s="53" t="inlineStr">
        <is>
          <t>MT</t>
        </is>
      </c>
      <c r="F1613" s="53" t="inlineStr">
        <is>
          <t>CUSTER</t>
        </is>
      </c>
      <c r="G1613" s="59" t="n"/>
      <c r="N1613" s="59" t="n"/>
      <c r="O1613" s="59" t="n"/>
      <c r="X1613" s="61" t="n"/>
      <c r="Y1613" s="61" t="n"/>
    </row>
    <row r="1614" ht="14.25" customHeight="1" s="86">
      <c r="E1614" s="53" t="inlineStr">
        <is>
          <t>MT</t>
        </is>
      </c>
      <c r="F1614" s="53" t="inlineStr">
        <is>
          <t>DANIELS</t>
        </is>
      </c>
      <c r="G1614" s="59" t="n"/>
      <c r="N1614" s="59" t="n"/>
      <c r="O1614" s="59" t="n"/>
      <c r="X1614" s="61" t="n"/>
      <c r="Y1614" s="61" t="n"/>
    </row>
    <row r="1615" ht="14.25" customHeight="1" s="86">
      <c r="E1615" s="53" t="inlineStr">
        <is>
          <t>MT</t>
        </is>
      </c>
      <c r="F1615" s="53" t="inlineStr">
        <is>
          <t>DAWSON</t>
        </is>
      </c>
      <c r="G1615" s="59" t="n"/>
      <c r="N1615" s="59" t="n"/>
      <c r="O1615" s="59" t="n"/>
      <c r="X1615" s="61" t="n"/>
      <c r="Y1615" s="61" t="n"/>
    </row>
    <row r="1616" ht="14.25" customHeight="1" s="86">
      <c r="E1616" s="53" t="inlineStr">
        <is>
          <t>MT</t>
        </is>
      </c>
      <c r="F1616" s="53" t="inlineStr">
        <is>
          <t>DEER LODGE</t>
        </is>
      </c>
      <c r="G1616" s="59" t="n"/>
      <c r="N1616" s="59" t="n"/>
      <c r="O1616" s="59" t="n"/>
      <c r="X1616" s="61" t="n"/>
      <c r="Y1616" s="61" t="n"/>
    </row>
    <row r="1617" ht="14.25" customHeight="1" s="86">
      <c r="E1617" s="53" t="inlineStr">
        <is>
          <t>MT</t>
        </is>
      </c>
      <c r="F1617" s="53" t="inlineStr">
        <is>
          <t>FALLON</t>
        </is>
      </c>
      <c r="G1617" s="59" t="n"/>
      <c r="N1617" s="59" t="n"/>
      <c r="O1617" s="59" t="n"/>
      <c r="X1617" s="61" t="n"/>
      <c r="Y1617" s="61" t="n"/>
    </row>
    <row r="1618" ht="14.25" customHeight="1" s="86">
      <c r="E1618" s="53" t="inlineStr">
        <is>
          <t>MT</t>
        </is>
      </c>
      <c r="F1618" s="53" t="inlineStr">
        <is>
          <t>FERGUS</t>
        </is>
      </c>
      <c r="G1618" s="59" t="n"/>
      <c r="N1618" s="59" t="n"/>
      <c r="O1618" s="59" t="n"/>
      <c r="X1618" s="61" t="n"/>
      <c r="Y1618" s="61" t="n"/>
    </row>
    <row r="1619" ht="14.25" customHeight="1" s="86">
      <c r="E1619" s="53" t="inlineStr">
        <is>
          <t>MT</t>
        </is>
      </c>
      <c r="F1619" s="53" t="inlineStr">
        <is>
          <t>FLATHEAD</t>
        </is>
      </c>
      <c r="G1619" s="59" t="n"/>
      <c r="N1619" s="59" t="n"/>
      <c r="O1619" s="59" t="n"/>
      <c r="X1619" s="61" t="n"/>
      <c r="Y1619" s="61" t="n"/>
    </row>
    <row r="1620" ht="14.25" customHeight="1" s="86">
      <c r="E1620" s="53" t="inlineStr">
        <is>
          <t>MT</t>
        </is>
      </c>
      <c r="F1620" s="53" t="inlineStr">
        <is>
          <t>GALLATIN</t>
        </is>
      </c>
      <c r="G1620" s="59" t="n"/>
      <c r="N1620" s="59" t="n"/>
      <c r="O1620" s="59" t="n"/>
      <c r="X1620" s="61" t="n"/>
      <c r="Y1620" s="61" t="n"/>
    </row>
    <row r="1621" ht="14.25" customHeight="1" s="86">
      <c r="E1621" s="53" t="inlineStr">
        <is>
          <t>MT</t>
        </is>
      </c>
      <c r="F1621" s="53" t="inlineStr">
        <is>
          <t>GARFIELD</t>
        </is>
      </c>
      <c r="G1621" s="59" t="n"/>
      <c r="N1621" s="59" t="n"/>
      <c r="O1621" s="59" t="n"/>
      <c r="X1621" s="61" t="n"/>
      <c r="Y1621" s="61" t="n"/>
    </row>
    <row r="1622" ht="14.25" customHeight="1" s="86">
      <c r="E1622" s="53" t="inlineStr">
        <is>
          <t>MT</t>
        </is>
      </c>
      <c r="F1622" s="53" t="inlineStr">
        <is>
          <t>GLACIER</t>
        </is>
      </c>
      <c r="G1622" s="59" t="n"/>
      <c r="N1622" s="59" t="n"/>
      <c r="O1622" s="59" t="n"/>
      <c r="X1622" s="61" t="n"/>
      <c r="Y1622" s="61" t="n"/>
    </row>
    <row r="1623" ht="14.25" customHeight="1" s="86">
      <c r="E1623" s="53" t="inlineStr">
        <is>
          <t>MT</t>
        </is>
      </c>
      <c r="F1623" s="53" t="inlineStr">
        <is>
          <t>GOLDEN VALLEY</t>
        </is>
      </c>
      <c r="G1623" s="59" t="n"/>
      <c r="N1623" s="59" t="n"/>
      <c r="O1623" s="59" t="n"/>
      <c r="X1623" s="61" t="n"/>
      <c r="Y1623" s="61" t="n"/>
    </row>
    <row r="1624" ht="14.25" customHeight="1" s="86">
      <c r="E1624" s="53" t="inlineStr">
        <is>
          <t>MT</t>
        </is>
      </c>
      <c r="F1624" s="53" t="inlineStr">
        <is>
          <t>GRANITE</t>
        </is>
      </c>
      <c r="G1624" s="59" t="n"/>
      <c r="N1624" s="59" t="n"/>
      <c r="O1624" s="59" t="n"/>
      <c r="X1624" s="61" t="n"/>
      <c r="Y1624" s="61" t="n"/>
    </row>
    <row r="1625" ht="14.25" customHeight="1" s="86">
      <c r="E1625" s="53" t="inlineStr">
        <is>
          <t>MT</t>
        </is>
      </c>
      <c r="F1625" s="53" t="inlineStr">
        <is>
          <t>HILL</t>
        </is>
      </c>
      <c r="G1625" s="59" t="n"/>
      <c r="N1625" s="59" t="n"/>
      <c r="O1625" s="59" t="n"/>
      <c r="X1625" s="61" t="n"/>
      <c r="Y1625" s="61" t="n"/>
    </row>
    <row r="1626" ht="14.25" customHeight="1" s="86">
      <c r="E1626" s="53" t="inlineStr">
        <is>
          <t>MT</t>
        </is>
      </c>
      <c r="F1626" s="53" t="inlineStr">
        <is>
          <t>JEFFERSON</t>
        </is>
      </c>
      <c r="G1626" s="59" t="n"/>
      <c r="N1626" s="59" t="n"/>
      <c r="O1626" s="59" t="n"/>
      <c r="X1626" s="61" t="n"/>
      <c r="Y1626" s="61" t="n"/>
    </row>
    <row r="1627" ht="14.25" customHeight="1" s="86">
      <c r="E1627" s="53" t="inlineStr">
        <is>
          <t>MT</t>
        </is>
      </c>
      <c r="F1627" s="53" t="inlineStr">
        <is>
          <t>JUDITH BASIN</t>
        </is>
      </c>
      <c r="G1627" s="59" t="n"/>
      <c r="N1627" s="59" t="n"/>
      <c r="O1627" s="59" t="n"/>
      <c r="X1627" s="61" t="n"/>
      <c r="Y1627" s="61" t="n"/>
    </row>
    <row r="1628" ht="14.25" customHeight="1" s="86">
      <c r="E1628" s="53" t="inlineStr">
        <is>
          <t>MT</t>
        </is>
      </c>
      <c r="F1628" s="53" t="inlineStr">
        <is>
          <t>LAKE</t>
        </is>
      </c>
      <c r="G1628" s="59" t="n"/>
      <c r="N1628" s="59" t="n"/>
      <c r="O1628" s="59" t="n"/>
      <c r="X1628" s="61" t="n"/>
      <c r="Y1628" s="61" t="n"/>
    </row>
    <row r="1629" ht="14.25" customHeight="1" s="86">
      <c r="E1629" s="53" t="inlineStr">
        <is>
          <t>MT</t>
        </is>
      </c>
      <c r="F1629" s="53" t="inlineStr">
        <is>
          <t>LEWIS AND CLARK</t>
        </is>
      </c>
      <c r="G1629" s="59" t="n"/>
      <c r="N1629" s="59" t="n"/>
      <c r="O1629" s="59" t="n"/>
      <c r="X1629" s="61" t="n"/>
      <c r="Y1629" s="61" t="n"/>
    </row>
    <row r="1630" ht="14.25" customHeight="1" s="86">
      <c r="E1630" s="53" t="inlineStr">
        <is>
          <t>MT</t>
        </is>
      </c>
      <c r="F1630" s="53" t="inlineStr">
        <is>
          <t>LIBERTY</t>
        </is>
      </c>
      <c r="G1630" s="59" t="n"/>
      <c r="N1630" s="59" t="n"/>
      <c r="O1630" s="59" t="n"/>
      <c r="X1630" s="61" t="n"/>
      <c r="Y1630" s="61" t="n"/>
    </row>
    <row r="1631" ht="14.25" customHeight="1" s="86">
      <c r="E1631" s="53" t="inlineStr">
        <is>
          <t>MT</t>
        </is>
      </c>
      <c r="F1631" s="53" t="inlineStr">
        <is>
          <t>LINCOLN</t>
        </is>
      </c>
      <c r="G1631" s="59" t="n"/>
      <c r="N1631" s="59" t="n"/>
      <c r="O1631" s="59" t="n"/>
      <c r="X1631" s="61" t="n"/>
      <c r="Y1631" s="61" t="n"/>
    </row>
    <row r="1632" ht="14.25" customHeight="1" s="86">
      <c r="E1632" s="53" t="inlineStr">
        <is>
          <t>MT</t>
        </is>
      </c>
      <c r="F1632" s="53" t="inlineStr">
        <is>
          <t>MADISON</t>
        </is>
      </c>
      <c r="G1632" s="59" t="n"/>
      <c r="N1632" s="59" t="n"/>
      <c r="O1632" s="59" t="n"/>
      <c r="X1632" s="61" t="n"/>
      <c r="Y1632" s="61" t="n"/>
    </row>
    <row r="1633" ht="14.25" customHeight="1" s="86">
      <c r="E1633" s="53" t="inlineStr">
        <is>
          <t>MT</t>
        </is>
      </c>
      <c r="F1633" s="53" t="inlineStr">
        <is>
          <t>MCCONE</t>
        </is>
      </c>
      <c r="G1633" s="59" t="n"/>
      <c r="N1633" s="59" t="n"/>
      <c r="O1633" s="59" t="n"/>
      <c r="X1633" s="61" t="n"/>
      <c r="Y1633" s="61" t="n"/>
    </row>
    <row r="1634" ht="14.25" customHeight="1" s="86">
      <c r="E1634" s="53" t="inlineStr">
        <is>
          <t>MT</t>
        </is>
      </c>
      <c r="F1634" s="53" t="inlineStr">
        <is>
          <t>MEAGHER</t>
        </is>
      </c>
      <c r="G1634" s="59" t="n"/>
      <c r="N1634" s="59" t="n"/>
      <c r="O1634" s="59" t="n"/>
      <c r="X1634" s="61" t="n"/>
      <c r="Y1634" s="61" t="n"/>
    </row>
    <row r="1635" ht="14.25" customHeight="1" s="86">
      <c r="E1635" s="53" t="inlineStr">
        <is>
          <t>MT</t>
        </is>
      </c>
      <c r="F1635" s="53" t="inlineStr">
        <is>
          <t>MINERAL</t>
        </is>
      </c>
      <c r="G1635" s="59" t="n"/>
      <c r="N1635" s="59" t="n"/>
      <c r="O1635" s="59" t="n"/>
      <c r="X1635" s="61" t="n"/>
      <c r="Y1635" s="61" t="n"/>
    </row>
    <row r="1636" ht="14.25" customHeight="1" s="86">
      <c r="E1636" s="53" t="inlineStr">
        <is>
          <t>MT</t>
        </is>
      </c>
      <c r="F1636" s="53" t="inlineStr">
        <is>
          <t>MISSOULA</t>
        </is>
      </c>
      <c r="G1636" s="59" t="n"/>
      <c r="N1636" s="59" t="n"/>
      <c r="O1636" s="59" t="n"/>
      <c r="X1636" s="61" t="n"/>
      <c r="Y1636" s="61" t="n"/>
    </row>
    <row r="1637" ht="14.25" customHeight="1" s="86">
      <c r="E1637" s="53" t="inlineStr">
        <is>
          <t>MT</t>
        </is>
      </c>
      <c r="F1637" s="53" t="inlineStr">
        <is>
          <t>MUSSELSHELL</t>
        </is>
      </c>
      <c r="G1637" s="59" t="n"/>
      <c r="N1637" s="59" t="n"/>
      <c r="O1637" s="59" t="n"/>
      <c r="X1637" s="61" t="n"/>
      <c r="Y1637" s="61" t="n"/>
    </row>
    <row r="1638" ht="14.25" customHeight="1" s="86">
      <c r="E1638" s="53" t="inlineStr">
        <is>
          <t>MT</t>
        </is>
      </c>
      <c r="F1638" s="53" t="inlineStr">
        <is>
          <t>PARK</t>
        </is>
      </c>
      <c r="G1638" s="59" t="n"/>
      <c r="N1638" s="59" t="n"/>
      <c r="O1638" s="59" t="n"/>
      <c r="X1638" s="61" t="n"/>
      <c r="Y1638" s="61" t="n"/>
    </row>
    <row r="1639" ht="14.25" customHeight="1" s="86">
      <c r="E1639" s="53" t="inlineStr">
        <is>
          <t>MT</t>
        </is>
      </c>
      <c r="F1639" s="53" t="inlineStr">
        <is>
          <t>PETROLEUM</t>
        </is>
      </c>
      <c r="G1639" s="59" t="n"/>
      <c r="N1639" s="59" t="n"/>
      <c r="O1639" s="59" t="n"/>
      <c r="X1639" s="61" t="n"/>
      <c r="Y1639" s="61" t="n"/>
    </row>
    <row r="1640" ht="14.25" customHeight="1" s="86">
      <c r="E1640" s="53" t="inlineStr">
        <is>
          <t>MT</t>
        </is>
      </c>
      <c r="F1640" s="53" t="inlineStr">
        <is>
          <t>PHILLIPS</t>
        </is>
      </c>
      <c r="G1640" s="59" t="n"/>
      <c r="N1640" s="59" t="n"/>
      <c r="O1640" s="59" t="n"/>
      <c r="X1640" s="61" t="n"/>
      <c r="Y1640" s="61" t="n"/>
    </row>
    <row r="1641" ht="14.25" customHeight="1" s="86">
      <c r="E1641" s="53" t="inlineStr">
        <is>
          <t>MT</t>
        </is>
      </c>
      <c r="F1641" s="53" t="inlineStr">
        <is>
          <t>PONDERA</t>
        </is>
      </c>
      <c r="G1641" s="59" t="n"/>
      <c r="N1641" s="59" t="n"/>
      <c r="O1641" s="59" t="n"/>
      <c r="X1641" s="61" t="n"/>
      <c r="Y1641" s="61" t="n"/>
    </row>
    <row r="1642" ht="14.25" customHeight="1" s="86">
      <c r="E1642" s="53" t="inlineStr">
        <is>
          <t>MT</t>
        </is>
      </c>
      <c r="F1642" s="53" t="inlineStr">
        <is>
          <t>POWDER RIVER</t>
        </is>
      </c>
      <c r="G1642" s="59" t="n"/>
      <c r="N1642" s="59" t="n"/>
      <c r="O1642" s="59" t="n"/>
      <c r="X1642" s="61" t="n"/>
      <c r="Y1642" s="61" t="n"/>
    </row>
    <row r="1643" ht="14.25" customHeight="1" s="86">
      <c r="E1643" s="53" t="inlineStr">
        <is>
          <t>MT</t>
        </is>
      </c>
      <c r="F1643" s="53" t="inlineStr">
        <is>
          <t>POWELL</t>
        </is>
      </c>
      <c r="G1643" s="59" t="n"/>
      <c r="N1643" s="59" t="n"/>
      <c r="O1643" s="59" t="n"/>
      <c r="X1643" s="61" t="n"/>
      <c r="Y1643" s="61" t="n"/>
    </row>
    <row r="1644" ht="14.25" customHeight="1" s="86">
      <c r="E1644" s="53" t="inlineStr">
        <is>
          <t>MT</t>
        </is>
      </c>
      <c r="F1644" s="53" t="inlineStr">
        <is>
          <t>PRAIRIE</t>
        </is>
      </c>
      <c r="G1644" s="59" t="n"/>
      <c r="N1644" s="59" t="n"/>
      <c r="O1644" s="59" t="n"/>
      <c r="X1644" s="61" t="n"/>
      <c r="Y1644" s="61" t="n"/>
    </row>
    <row r="1645" ht="14.25" customHeight="1" s="86">
      <c r="E1645" s="53" t="inlineStr">
        <is>
          <t>MT</t>
        </is>
      </c>
      <c r="F1645" s="53" t="inlineStr">
        <is>
          <t>RAVALLI</t>
        </is>
      </c>
      <c r="G1645" s="59" t="n"/>
      <c r="N1645" s="59" t="n"/>
      <c r="O1645" s="59" t="n"/>
      <c r="X1645" s="61" t="n"/>
      <c r="Y1645" s="61" t="n"/>
    </row>
    <row r="1646" ht="14.25" customHeight="1" s="86">
      <c r="E1646" s="53" t="inlineStr">
        <is>
          <t>MT</t>
        </is>
      </c>
      <c r="F1646" s="53" t="inlineStr">
        <is>
          <t>RICHLAND</t>
        </is>
      </c>
      <c r="G1646" s="59" t="n"/>
      <c r="N1646" s="59" t="n"/>
      <c r="O1646" s="59" t="n"/>
      <c r="X1646" s="61" t="n"/>
      <c r="Y1646" s="61" t="n"/>
    </row>
    <row r="1647" ht="14.25" customHeight="1" s="86">
      <c r="E1647" s="53" t="inlineStr">
        <is>
          <t>MT</t>
        </is>
      </c>
      <c r="F1647" s="53" t="inlineStr">
        <is>
          <t>ROOSEVELT</t>
        </is>
      </c>
      <c r="G1647" s="59" t="n"/>
      <c r="N1647" s="59" t="n"/>
      <c r="O1647" s="59" t="n"/>
      <c r="X1647" s="61" t="n"/>
      <c r="Y1647" s="61" t="n"/>
    </row>
    <row r="1648" ht="14.25" customHeight="1" s="86">
      <c r="E1648" s="53" t="inlineStr">
        <is>
          <t>MT</t>
        </is>
      </c>
      <c r="F1648" s="53" t="inlineStr">
        <is>
          <t>ROSEBUD</t>
        </is>
      </c>
      <c r="G1648" s="59" t="n"/>
      <c r="N1648" s="59" t="n"/>
      <c r="O1648" s="59" t="n"/>
      <c r="X1648" s="61" t="n"/>
      <c r="Y1648" s="61" t="n"/>
    </row>
    <row r="1649" ht="14.25" customHeight="1" s="86">
      <c r="E1649" s="53" t="inlineStr">
        <is>
          <t>MT</t>
        </is>
      </c>
      <c r="F1649" s="53" t="inlineStr">
        <is>
          <t>SANDERS</t>
        </is>
      </c>
      <c r="G1649" s="59" t="n"/>
      <c r="N1649" s="59" t="n"/>
      <c r="O1649" s="59" t="n"/>
      <c r="X1649" s="61" t="n"/>
      <c r="Y1649" s="61" t="n"/>
    </row>
    <row r="1650" ht="14.25" customHeight="1" s="86">
      <c r="E1650" s="53" t="inlineStr">
        <is>
          <t>MT</t>
        </is>
      </c>
      <c r="F1650" s="53" t="inlineStr">
        <is>
          <t>SHERIDAN</t>
        </is>
      </c>
      <c r="G1650" s="59" t="n"/>
      <c r="N1650" s="59" t="n"/>
      <c r="O1650" s="59" t="n"/>
      <c r="X1650" s="61" t="n"/>
      <c r="Y1650" s="61" t="n"/>
    </row>
    <row r="1651" ht="14.25" customHeight="1" s="86">
      <c r="E1651" s="53" t="inlineStr">
        <is>
          <t>MT</t>
        </is>
      </c>
      <c r="F1651" s="53" t="inlineStr">
        <is>
          <t>SILVER BOW</t>
        </is>
      </c>
      <c r="G1651" s="59" t="n"/>
      <c r="N1651" s="59" t="n"/>
      <c r="O1651" s="59" t="n"/>
      <c r="X1651" s="61" t="n"/>
      <c r="Y1651" s="61" t="n"/>
    </row>
    <row r="1652" ht="14.25" customHeight="1" s="86">
      <c r="E1652" s="53" t="inlineStr">
        <is>
          <t>MT</t>
        </is>
      </c>
      <c r="F1652" s="53" t="inlineStr">
        <is>
          <t>STILLWATER</t>
        </is>
      </c>
      <c r="G1652" s="59" t="n"/>
      <c r="N1652" s="59" t="n"/>
      <c r="O1652" s="59" t="n"/>
      <c r="X1652" s="61" t="n"/>
      <c r="Y1652" s="61" t="n"/>
    </row>
    <row r="1653" ht="14.25" customHeight="1" s="86">
      <c r="E1653" s="53" t="inlineStr">
        <is>
          <t>MT</t>
        </is>
      </c>
      <c r="F1653" s="53" t="inlineStr">
        <is>
          <t>SWEET GRASS</t>
        </is>
      </c>
      <c r="G1653" s="59" t="n"/>
      <c r="N1653" s="59" t="n"/>
      <c r="O1653" s="59" t="n"/>
      <c r="X1653" s="61" t="n"/>
      <c r="Y1653" s="61" t="n"/>
    </row>
    <row r="1654" ht="14.25" customHeight="1" s="86">
      <c r="E1654" s="53" t="inlineStr">
        <is>
          <t>MT</t>
        </is>
      </c>
      <c r="F1654" s="53" t="inlineStr">
        <is>
          <t>TETON</t>
        </is>
      </c>
      <c r="G1654" s="59" t="n"/>
      <c r="N1654" s="59" t="n"/>
      <c r="O1654" s="59" t="n"/>
      <c r="X1654" s="61" t="n"/>
      <c r="Y1654" s="61" t="n"/>
    </row>
    <row r="1655" ht="14.25" customHeight="1" s="86">
      <c r="E1655" s="53" t="inlineStr">
        <is>
          <t>MT</t>
        </is>
      </c>
      <c r="F1655" s="53" t="inlineStr">
        <is>
          <t>TOOLE</t>
        </is>
      </c>
      <c r="G1655" s="59" t="n"/>
      <c r="N1655" s="59" t="n"/>
      <c r="O1655" s="59" t="n"/>
      <c r="X1655" s="61" t="n"/>
      <c r="Y1655" s="61" t="n"/>
    </row>
    <row r="1656" ht="14.25" customHeight="1" s="86">
      <c r="E1656" s="53" t="inlineStr">
        <is>
          <t>MT</t>
        </is>
      </c>
      <c r="F1656" s="53" t="inlineStr">
        <is>
          <t>TREASURE</t>
        </is>
      </c>
      <c r="G1656" s="59" t="n"/>
      <c r="N1656" s="59" t="n"/>
      <c r="O1656" s="59" t="n"/>
      <c r="X1656" s="61" t="n"/>
      <c r="Y1656" s="61" t="n"/>
    </row>
    <row r="1657" ht="14.25" customHeight="1" s="86">
      <c r="E1657" s="53" t="inlineStr">
        <is>
          <t>MT</t>
        </is>
      </c>
      <c r="F1657" s="53" t="inlineStr">
        <is>
          <t>VALLEY</t>
        </is>
      </c>
      <c r="G1657" s="59" t="n"/>
      <c r="N1657" s="59" t="n"/>
      <c r="O1657" s="59" t="n"/>
      <c r="X1657" s="61" t="n"/>
      <c r="Y1657" s="61" t="n"/>
    </row>
    <row r="1658" ht="14.25" customHeight="1" s="86">
      <c r="E1658" s="53" t="inlineStr">
        <is>
          <t>MT</t>
        </is>
      </c>
      <c r="F1658" s="53" t="inlineStr">
        <is>
          <t>WHEATLAND</t>
        </is>
      </c>
      <c r="G1658" s="59" t="n"/>
      <c r="N1658" s="59" t="n"/>
      <c r="O1658" s="59" t="n"/>
      <c r="X1658" s="61" t="n"/>
      <c r="Y1658" s="61" t="n"/>
    </row>
    <row r="1659" ht="14.25" customHeight="1" s="86">
      <c r="E1659" s="53" t="inlineStr">
        <is>
          <t>MT</t>
        </is>
      </c>
      <c r="F1659" s="53" t="inlineStr">
        <is>
          <t>WIBAUX</t>
        </is>
      </c>
      <c r="G1659" s="59" t="n"/>
      <c r="N1659" s="59" t="n"/>
      <c r="O1659" s="59" t="n"/>
      <c r="X1659" s="61" t="n"/>
      <c r="Y1659" s="61" t="n"/>
    </row>
    <row r="1660" ht="14.25" customHeight="1" s="86">
      <c r="E1660" s="53" t="inlineStr">
        <is>
          <t>MT</t>
        </is>
      </c>
      <c r="F1660" s="53" t="inlineStr">
        <is>
          <t>YELLOWSTONE</t>
        </is>
      </c>
      <c r="G1660" s="59" t="n"/>
      <c r="N1660" s="59" t="n"/>
      <c r="O1660" s="59" t="n"/>
      <c r="X1660" s="61" t="n"/>
      <c r="Y1660" s="61" t="n"/>
    </row>
    <row r="1661" ht="14.25" customHeight="1" s="86">
      <c r="E1661" s="53" t="inlineStr">
        <is>
          <t>NC</t>
        </is>
      </c>
      <c r="F1661" s="53" t="inlineStr">
        <is>
          <t>ALAMANCE</t>
        </is>
      </c>
      <c r="G1661" s="59" t="n"/>
      <c r="N1661" s="59" t="n"/>
      <c r="O1661" s="59" t="n"/>
      <c r="X1661" s="61" t="n"/>
      <c r="Y1661" s="61" t="n"/>
    </row>
    <row r="1662" ht="14.25" customHeight="1" s="86">
      <c r="E1662" s="53" t="inlineStr">
        <is>
          <t>NC</t>
        </is>
      </c>
      <c r="F1662" s="53" t="inlineStr">
        <is>
          <t>ALEXANDER</t>
        </is>
      </c>
      <c r="G1662" s="59" t="n"/>
      <c r="N1662" s="59" t="n"/>
      <c r="O1662" s="59" t="n"/>
      <c r="X1662" s="61" t="n"/>
      <c r="Y1662" s="61" t="n"/>
    </row>
    <row r="1663" ht="14.25" customHeight="1" s="86">
      <c r="E1663" s="53" t="inlineStr">
        <is>
          <t>NC</t>
        </is>
      </c>
      <c r="F1663" s="53" t="inlineStr">
        <is>
          <t>ALLEGHANY</t>
        </is>
      </c>
      <c r="G1663" s="59" t="n"/>
      <c r="N1663" s="59" t="n"/>
      <c r="O1663" s="59" t="n"/>
      <c r="X1663" s="61" t="n"/>
      <c r="Y1663" s="61" t="n"/>
    </row>
    <row r="1664" ht="14.25" customHeight="1" s="86">
      <c r="E1664" s="53" t="inlineStr">
        <is>
          <t>NC</t>
        </is>
      </c>
      <c r="F1664" s="53" t="inlineStr">
        <is>
          <t>ANSON</t>
        </is>
      </c>
      <c r="G1664" s="59" t="n"/>
      <c r="N1664" s="59" t="n"/>
      <c r="O1664" s="59" t="n"/>
      <c r="X1664" s="61" t="n"/>
      <c r="Y1664" s="61" t="n"/>
    </row>
    <row r="1665" ht="14.25" customHeight="1" s="86">
      <c r="E1665" s="53" t="inlineStr">
        <is>
          <t>NC</t>
        </is>
      </c>
      <c r="F1665" s="53" t="inlineStr">
        <is>
          <t>ASHE</t>
        </is>
      </c>
      <c r="G1665" s="59" t="n"/>
      <c r="N1665" s="59" t="n"/>
      <c r="O1665" s="59" t="n"/>
      <c r="X1665" s="61" t="n"/>
      <c r="Y1665" s="61" t="n"/>
    </row>
    <row r="1666" ht="14.25" customHeight="1" s="86">
      <c r="E1666" s="53" t="inlineStr">
        <is>
          <t>NC</t>
        </is>
      </c>
      <c r="F1666" s="53" t="inlineStr">
        <is>
          <t>AVERY</t>
        </is>
      </c>
      <c r="G1666" s="59" t="n"/>
      <c r="N1666" s="59" t="n"/>
      <c r="O1666" s="59" t="n"/>
      <c r="X1666" s="61" t="n"/>
      <c r="Y1666" s="61" t="n"/>
    </row>
    <row r="1667" ht="14.25" customHeight="1" s="86">
      <c r="E1667" s="53" t="inlineStr">
        <is>
          <t>NC</t>
        </is>
      </c>
      <c r="F1667" s="53" t="inlineStr">
        <is>
          <t>BEAUFORT</t>
        </is>
      </c>
      <c r="G1667" s="59" t="n"/>
      <c r="N1667" s="59" t="n"/>
      <c r="O1667" s="59" t="n"/>
      <c r="X1667" s="61" t="n"/>
      <c r="Y1667" s="61" t="n"/>
    </row>
    <row r="1668" ht="14.25" customHeight="1" s="86">
      <c r="E1668" s="53" t="inlineStr">
        <is>
          <t>NC</t>
        </is>
      </c>
      <c r="F1668" s="53" t="inlineStr">
        <is>
          <t>BERTIE</t>
        </is>
      </c>
      <c r="G1668" s="59" t="n"/>
      <c r="N1668" s="59" t="n"/>
      <c r="O1668" s="59" t="n"/>
      <c r="X1668" s="61" t="n"/>
      <c r="Y1668" s="61" t="n"/>
    </row>
    <row r="1669" ht="14.25" customHeight="1" s="86">
      <c r="E1669" s="53" t="inlineStr">
        <is>
          <t>NC</t>
        </is>
      </c>
      <c r="F1669" s="53" t="inlineStr">
        <is>
          <t>BLADEN</t>
        </is>
      </c>
      <c r="G1669" s="59" t="n"/>
      <c r="N1669" s="59" t="n"/>
      <c r="O1669" s="59" t="n"/>
      <c r="X1669" s="61" t="n"/>
      <c r="Y1669" s="61" t="n"/>
    </row>
    <row r="1670" ht="14.25" customHeight="1" s="86">
      <c r="E1670" s="53" t="inlineStr">
        <is>
          <t>NC</t>
        </is>
      </c>
      <c r="F1670" s="53" t="inlineStr">
        <is>
          <t>BRUNSWICK</t>
        </is>
      </c>
      <c r="G1670" s="59" t="n"/>
      <c r="N1670" s="59" t="n"/>
      <c r="O1670" s="59" t="n"/>
      <c r="X1670" s="61" t="n"/>
      <c r="Y1670" s="61" t="n"/>
    </row>
    <row r="1671" ht="14.25" customHeight="1" s="86">
      <c r="E1671" s="53" t="inlineStr">
        <is>
          <t>NC</t>
        </is>
      </c>
      <c r="F1671" s="53" t="inlineStr">
        <is>
          <t>BUNCOMBE</t>
        </is>
      </c>
      <c r="G1671" s="59" t="n"/>
      <c r="N1671" s="59" t="n"/>
      <c r="O1671" s="59" t="n"/>
      <c r="X1671" s="61" t="n"/>
      <c r="Y1671" s="61" t="n"/>
    </row>
    <row r="1672" ht="14.25" customHeight="1" s="86">
      <c r="E1672" s="53" t="inlineStr">
        <is>
          <t>NC</t>
        </is>
      </c>
      <c r="F1672" s="53" t="inlineStr">
        <is>
          <t>BURKE</t>
        </is>
      </c>
      <c r="G1672" s="59" t="n"/>
      <c r="N1672" s="59" t="n"/>
      <c r="O1672" s="59" t="n"/>
      <c r="X1672" s="61" t="n"/>
      <c r="Y1672" s="61" t="n"/>
    </row>
    <row r="1673" ht="14.25" customHeight="1" s="86">
      <c r="E1673" s="53" t="inlineStr">
        <is>
          <t>NC</t>
        </is>
      </c>
      <c r="F1673" s="53" t="inlineStr">
        <is>
          <t>CABARRUS</t>
        </is>
      </c>
      <c r="G1673" s="59" t="n"/>
      <c r="N1673" s="59" t="n"/>
      <c r="O1673" s="59" t="n"/>
      <c r="X1673" s="61" t="n"/>
      <c r="Y1673" s="61" t="n"/>
    </row>
    <row r="1674" ht="14.25" customHeight="1" s="86">
      <c r="E1674" s="53" t="inlineStr">
        <is>
          <t>NC</t>
        </is>
      </c>
      <c r="F1674" s="53" t="inlineStr">
        <is>
          <t>CALDWELL</t>
        </is>
      </c>
      <c r="G1674" s="59" t="n"/>
      <c r="N1674" s="59" t="n"/>
      <c r="O1674" s="59" t="n"/>
      <c r="X1674" s="61" t="n"/>
      <c r="Y1674" s="61" t="n"/>
    </row>
    <row r="1675" ht="14.25" customHeight="1" s="86">
      <c r="E1675" s="53" t="inlineStr">
        <is>
          <t>NC</t>
        </is>
      </c>
      <c r="F1675" s="53" t="inlineStr">
        <is>
          <t>CAMDEN</t>
        </is>
      </c>
      <c r="G1675" s="59" t="n"/>
      <c r="N1675" s="59" t="n"/>
      <c r="O1675" s="59" t="n"/>
      <c r="X1675" s="61" t="n"/>
      <c r="Y1675" s="61" t="n"/>
    </row>
    <row r="1676" ht="14.25" customHeight="1" s="86">
      <c r="E1676" s="53" t="inlineStr">
        <is>
          <t>NC</t>
        </is>
      </c>
      <c r="F1676" s="53" t="inlineStr">
        <is>
          <t>CARTERET</t>
        </is>
      </c>
      <c r="G1676" s="59" t="n"/>
      <c r="N1676" s="59" t="n"/>
      <c r="O1676" s="59" t="n"/>
      <c r="X1676" s="61" t="n"/>
      <c r="Y1676" s="61" t="n"/>
    </row>
    <row r="1677" ht="14.25" customHeight="1" s="86">
      <c r="E1677" s="53" t="inlineStr">
        <is>
          <t>NC</t>
        </is>
      </c>
      <c r="F1677" s="53" t="inlineStr">
        <is>
          <t>CASWELL</t>
        </is>
      </c>
      <c r="G1677" s="59" t="n"/>
      <c r="N1677" s="59" t="n"/>
      <c r="O1677" s="59" t="n"/>
      <c r="X1677" s="61" t="n"/>
      <c r="Y1677" s="61" t="n"/>
    </row>
    <row r="1678" ht="14.25" customHeight="1" s="86">
      <c r="E1678" s="53" t="inlineStr">
        <is>
          <t>NC</t>
        </is>
      </c>
      <c r="F1678" s="53" t="inlineStr">
        <is>
          <t>CATAWBA</t>
        </is>
      </c>
      <c r="G1678" s="59" t="n"/>
      <c r="N1678" s="59" t="n"/>
      <c r="O1678" s="59" t="n"/>
      <c r="X1678" s="61" t="n"/>
      <c r="Y1678" s="61" t="n"/>
    </row>
    <row r="1679" ht="14.25" customHeight="1" s="86">
      <c r="E1679" s="53" t="inlineStr">
        <is>
          <t>NC</t>
        </is>
      </c>
      <c r="F1679" s="53" t="inlineStr">
        <is>
          <t>CHATHAM</t>
        </is>
      </c>
      <c r="G1679" s="59" t="n"/>
      <c r="N1679" s="59" t="n"/>
      <c r="O1679" s="59" t="n"/>
      <c r="X1679" s="61" t="n"/>
      <c r="Y1679" s="61" t="n"/>
    </row>
    <row r="1680" ht="14.25" customHeight="1" s="86">
      <c r="E1680" s="53" t="inlineStr">
        <is>
          <t>NC</t>
        </is>
      </c>
      <c r="F1680" s="53" t="inlineStr">
        <is>
          <t>CHEROKEE</t>
        </is>
      </c>
      <c r="G1680" s="59" t="n"/>
      <c r="N1680" s="59" t="n"/>
      <c r="O1680" s="59" t="n"/>
      <c r="X1680" s="61" t="n"/>
      <c r="Y1680" s="61" t="n"/>
    </row>
    <row r="1681" ht="14.25" customHeight="1" s="86">
      <c r="E1681" s="53" t="inlineStr">
        <is>
          <t>NC</t>
        </is>
      </c>
      <c r="F1681" s="53" t="inlineStr">
        <is>
          <t>CHOWAN</t>
        </is>
      </c>
      <c r="G1681" s="59" t="n"/>
      <c r="N1681" s="59" t="n"/>
      <c r="O1681" s="59" t="n"/>
      <c r="X1681" s="61" t="n"/>
      <c r="Y1681" s="61" t="n"/>
    </row>
    <row r="1682" ht="14.25" customHeight="1" s="86">
      <c r="E1682" s="53" t="inlineStr">
        <is>
          <t>NC</t>
        </is>
      </c>
      <c r="F1682" s="53" t="inlineStr">
        <is>
          <t>CLAY</t>
        </is>
      </c>
      <c r="G1682" s="59" t="n"/>
      <c r="N1682" s="59" t="n"/>
      <c r="O1682" s="59" t="n"/>
      <c r="X1682" s="61" t="n"/>
      <c r="Y1682" s="61" t="n"/>
    </row>
    <row r="1683" ht="14.25" customHeight="1" s="86">
      <c r="E1683" s="53" t="inlineStr">
        <is>
          <t>NC</t>
        </is>
      </c>
      <c r="F1683" s="53" t="inlineStr">
        <is>
          <t>CLEVELAND</t>
        </is>
      </c>
      <c r="G1683" s="59" t="n"/>
      <c r="N1683" s="59" t="n"/>
      <c r="O1683" s="59" t="n"/>
      <c r="X1683" s="61" t="n"/>
      <c r="Y1683" s="61" t="n"/>
    </row>
    <row r="1684" ht="14.25" customHeight="1" s="86">
      <c r="E1684" s="53" t="inlineStr">
        <is>
          <t>NC</t>
        </is>
      </c>
      <c r="F1684" s="53" t="inlineStr">
        <is>
          <t>COLUMBUS</t>
        </is>
      </c>
      <c r="G1684" s="59" t="n"/>
      <c r="N1684" s="59" t="n"/>
      <c r="O1684" s="59" t="n"/>
      <c r="X1684" s="61" t="n"/>
      <c r="Y1684" s="61" t="n"/>
    </row>
    <row r="1685" ht="14.25" customHeight="1" s="86">
      <c r="E1685" s="53" t="inlineStr">
        <is>
          <t>NC</t>
        </is>
      </c>
      <c r="F1685" s="53" t="inlineStr">
        <is>
          <t>CRAVEN</t>
        </is>
      </c>
      <c r="G1685" s="59" t="n"/>
      <c r="N1685" s="59" t="n"/>
      <c r="O1685" s="59" t="n"/>
      <c r="X1685" s="61" t="n"/>
      <c r="Y1685" s="61" t="n"/>
    </row>
    <row r="1686" ht="14.25" customHeight="1" s="86">
      <c r="E1686" s="53" t="inlineStr">
        <is>
          <t>NC</t>
        </is>
      </c>
      <c r="F1686" s="53" t="inlineStr">
        <is>
          <t>CUMBERLAND</t>
        </is>
      </c>
      <c r="G1686" s="59" t="n"/>
      <c r="N1686" s="59" t="n"/>
      <c r="O1686" s="59" t="n"/>
      <c r="X1686" s="61" t="n"/>
      <c r="Y1686" s="61" t="n"/>
    </row>
    <row r="1687" ht="14.25" customHeight="1" s="86">
      <c r="E1687" s="53" t="inlineStr">
        <is>
          <t>NC</t>
        </is>
      </c>
      <c r="F1687" s="53" t="inlineStr">
        <is>
          <t>CURRITUCK</t>
        </is>
      </c>
      <c r="G1687" s="59" t="n"/>
      <c r="N1687" s="59" t="n"/>
      <c r="O1687" s="59" t="n"/>
      <c r="X1687" s="61" t="n"/>
      <c r="Y1687" s="61" t="n"/>
    </row>
    <row r="1688" ht="14.25" customHeight="1" s="86">
      <c r="E1688" s="53" t="inlineStr">
        <is>
          <t>NC</t>
        </is>
      </c>
      <c r="F1688" s="53" t="inlineStr">
        <is>
          <t>DARE</t>
        </is>
      </c>
      <c r="G1688" s="59" t="n"/>
      <c r="N1688" s="59" t="n"/>
      <c r="O1688" s="59" t="n"/>
      <c r="X1688" s="61" t="n"/>
      <c r="Y1688" s="61" t="n"/>
    </row>
    <row r="1689" ht="14.25" customHeight="1" s="86">
      <c r="E1689" s="53" t="inlineStr">
        <is>
          <t>NC</t>
        </is>
      </c>
      <c r="F1689" s="53" t="inlineStr">
        <is>
          <t>DAVIDSON</t>
        </is>
      </c>
      <c r="G1689" s="59" t="n"/>
      <c r="N1689" s="59" t="n"/>
      <c r="O1689" s="59" t="n"/>
      <c r="X1689" s="61" t="n"/>
      <c r="Y1689" s="61" t="n"/>
    </row>
    <row r="1690" ht="14.25" customHeight="1" s="86">
      <c r="E1690" s="53" t="inlineStr">
        <is>
          <t>NC</t>
        </is>
      </c>
      <c r="F1690" s="53" t="inlineStr">
        <is>
          <t>DAVIE</t>
        </is>
      </c>
      <c r="G1690" s="59" t="n"/>
      <c r="N1690" s="59" t="n"/>
      <c r="O1690" s="59" t="n"/>
      <c r="X1690" s="61" t="n"/>
      <c r="Y1690" s="61" t="n"/>
    </row>
    <row r="1691" ht="14.25" customHeight="1" s="86">
      <c r="E1691" s="53" t="inlineStr">
        <is>
          <t>NC</t>
        </is>
      </c>
      <c r="F1691" s="53" t="inlineStr">
        <is>
          <t>DUPLIN</t>
        </is>
      </c>
      <c r="G1691" s="59" t="n"/>
      <c r="N1691" s="59" t="n"/>
      <c r="O1691" s="59" t="n"/>
      <c r="X1691" s="61" t="n"/>
      <c r="Y1691" s="61" t="n"/>
    </row>
    <row r="1692" ht="14.25" customHeight="1" s="86">
      <c r="E1692" s="53" t="inlineStr">
        <is>
          <t>NC</t>
        </is>
      </c>
      <c r="F1692" s="53" t="inlineStr">
        <is>
          <t>DURHAM</t>
        </is>
      </c>
      <c r="G1692" s="59" t="n"/>
      <c r="N1692" s="59" t="n"/>
      <c r="O1692" s="59" t="n"/>
      <c r="X1692" s="61" t="n"/>
      <c r="Y1692" s="61" t="n"/>
    </row>
    <row r="1693" ht="14.25" customHeight="1" s="86">
      <c r="E1693" s="53" t="inlineStr">
        <is>
          <t>NC</t>
        </is>
      </c>
      <c r="F1693" s="53" t="inlineStr">
        <is>
          <t>EDGECOMBE</t>
        </is>
      </c>
      <c r="G1693" s="59" t="n"/>
      <c r="N1693" s="59" t="n"/>
      <c r="O1693" s="59" t="n"/>
      <c r="X1693" s="61" t="n"/>
      <c r="Y1693" s="61" t="n"/>
    </row>
    <row r="1694" ht="14.25" customHeight="1" s="86">
      <c r="E1694" s="53" t="inlineStr">
        <is>
          <t>NC</t>
        </is>
      </c>
      <c r="F1694" s="53" t="inlineStr">
        <is>
          <t>FORSYTH</t>
        </is>
      </c>
      <c r="G1694" s="59" t="n"/>
      <c r="N1694" s="59" t="n"/>
      <c r="O1694" s="59" t="n"/>
      <c r="X1694" s="61" t="n"/>
      <c r="Y1694" s="61" t="n"/>
    </row>
    <row r="1695" ht="14.25" customHeight="1" s="86">
      <c r="E1695" s="53" t="inlineStr">
        <is>
          <t>NC</t>
        </is>
      </c>
      <c r="F1695" s="53" t="inlineStr">
        <is>
          <t>FRANKLIN</t>
        </is>
      </c>
      <c r="G1695" s="59" t="n"/>
      <c r="N1695" s="59" t="n"/>
      <c r="O1695" s="59" t="n"/>
      <c r="X1695" s="61" t="n"/>
      <c r="Y1695" s="61" t="n"/>
    </row>
    <row r="1696" ht="14.25" customHeight="1" s="86">
      <c r="E1696" s="53" t="inlineStr">
        <is>
          <t>NC</t>
        </is>
      </c>
      <c r="F1696" s="53" t="inlineStr">
        <is>
          <t>GASTON</t>
        </is>
      </c>
      <c r="G1696" s="59" t="n"/>
      <c r="N1696" s="59" t="n"/>
      <c r="O1696" s="59" t="n"/>
      <c r="X1696" s="61" t="n"/>
      <c r="Y1696" s="61" t="n"/>
    </row>
    <row r="1697" ht="14.25" customHeight="1" s="86">
      <c r="E1697" s="53" t="inlineStr">
        <is>
          <t>NC</t>
        </is>
      </c>
      <c r="F1697" s="53" t="inlineStr">
        <is>
          <t>GATES</t>
        </is>
      </c>
      <c r="G1697" s="59" t="n"/>
      <c r="N1697" s="59" t="n"/>
      <c r="O1697" s="59" t="n"/>
      <c r="X1697" s="61" t="n"/>
      <c r="Y1697" s="61" t="n"/>
    </row>
    <row r="1698" ht="14.25" customHeight="1" s="86">
      <c r="E1698" s="53" t="inlineStr">
        <is>
          <t>NC</t>
        </is>
      </c>
      <c r="F1698" s="53" t="inlineStr">
        <is>
          <t>GRAHAM</t>
        </is>
      </c>
      <c r="G1698" s="59" t="n"/>
      <c r="N1698" s="59" t="n"/>
      <c r="O1698" s="59" t="n"/>
      <c r="X1698" s="61" t="n"/>
      <c r="Y1698" s="61" t="n"/>
    </row>
    <row r="1699" ht="14.25" customHeight="1" s="86">
      <c r="E1699" s="53" t="inlineStr">
        <is>
          <t>NC</t>
        </is>
      </c>
      <c r="F1699" s="53" t="inlineStr">
        <is>
          <t>GRANVILLE</t>
        </is>
      </c>
      <c r="G1699" s="59" t="n"/>
      <c r="N1699" s="59" t="n"/>
      <c r="O1699" s="59" t="n"/>
      <c r="X1699" s="61" t="n"/>
      <c r="Y1699" s="61" t="n"/>
    </row>
    <row r="1700" ht="14.25" customHeight="1" s="86">
      <c r="E1700" s="53" t="inlineStr">
        <is>
          <t>NC</t>
        </is>
      </c>
      <c r="F1700" s="53" t="inlineStr">
        <is>
          <t>GREENE</t>
        </is>
      </c>
      <c r="G1700" s="59" t="n"/>
      <c r="N1700" s="59" t="n"/>
      <c r="O1700" s="59" t="n"/>
      <c r="X1700" s="61" t="n"/>
      <c r="Y1700" s="61" t="n"/>
    </row>
    <row r="1701" ht="14.25" customHeight="1" s="86">
      <c r="E1701" s="53" t="inlineStr">
        <is>
          <t>NC</t>
        </is>
      </c>
      <c r="F1701" s="53" t="inlineStr">
        <is>
          <t>GUILFORD</t>
        </is>
      </c>
      <c r="G1701" s="59" t="n"/>
      <c r="N1701" s="59" t="n"/>
      <c r="O1701" s="59" t="n"/>
      <c r="X1701" s="61" t="n"/>
      <c r="Y1701" s="61" t="n"/>
    </row>
    <row r="1702" ht="14.25" customHeight="1" s="86">
      <c r="E1702" s="53" t="inlineStr">
        <is>
          <t>NC</t>
        </is>
      </c>
      <c r="F1702" s="53" t="inlineStr">
        <is>
          <t>HALIFAX</t>
        </is>
      </c>
      <c r="G1702" s="59" t="n"/>
      <c r="N1702" s="59" t="n"/>
      <c r="O1702" s="59" t="n"/>
      <c r="X1702" s="61" t="n"/>
      <c r="Y1702" s="61" t="n"/>
    </row>
    <row r="1703" ht="14.25" customHeight="1" s="86">
      <c r="E1703" s="53" t="inlineStr">
        <is>
          <t>NC</t>
        </is>
      </c>
      <c r="F1703" s="53" t="inlineStr">
        <is>
          <t>HARNETT</t>
        </is>
      </c>
      <c r="G1703" s="59" t="n"/>
      <c r="N1703" s="59" t="n"/>
      <c r="O1703" s="59" t="n"/>
      <c r="X1703" s="61" t="n"/>
      <c r="Y1703" s="61" t="n"/>
    </row>
    <row r="1704" ht="14.25" customHeight="1" s="86">
      <c r="E1704" s="53" t="inlineStr">
        <is>
          <t>NC</t>
        </is>
      </c>
      <c r="F1704" s="53" t="inlineStr">
        <is>
          <t>HAYWOOD</t>
        </is>
      </c>
      <c r="G1704" s="59" t="n"/>
      <c r="N1704" s="59" t="n"/>
      <c r="O1704" s="59" t="n"/>
      <c r="X1704" s="61" t="n"/>
      <c r="Y1704" s="61" t="n"/>
    </row>
    <row r="1705" ht="14.25" customHeight="1" s="86">
      <c r="E1705" s="53" t="inlineStr">
        <is>
          <t>NC</t>
        </is>
      </c>
      <c r="F1705" s="53" t="inlineStr">
        <is>
          <t>HENDERSON</t>
        </is>
      </c>
      <c r="G1705" s="59" t="n"/>
      <c r="N1705" s="59" t="n"/>
      <c r="O1705" s="59" t="n"/>
      <c r="X1705" s="61" t="n"/>
      <c r="Y1705" s="61" t="n"/>
    </row>
    <row r="1706" ht="14.25" customHeight="1" s="86">
      <c r="E1706" s="53" t="inlineStr">
        <is>
          <t>NC</t>
        </is>
      </c>
      <c r="F1706" s="53" t="inlineStr">
        <is>
          <t>HERTFORD</t>
        </is>
      </c>
      <c r="G1706" s="59" t="n"/>
      <c r="N1706" s="59" t="n"/>
      <c r="O1706" s="59" t="n"/>
      <c r="X1706" s="61" t="n"/>
      <c r="Y1706" s="61" t="n"/>
    </row>
    <row r="1707" ht="14.25" customHeight="1" s="86">
      <c r="E1707" s="53" t="inlineStr">
        <is>
          <t>NC</t>
        </is>
      </c>
      <c r="F1707" s="53" t="inlineStr">
        <is>
          <t>HOKE</t>
        </is>
      </c>
      <c r="G1707" s="59" t="n"/>
      <c r="N1707" s="59" t="n"/>
      <c r="O1707" s="59" t="n"/>
      <c r="X1707" s="61" t="n"/>
      <c r="Y1707" s="61" t="n"/>
    </row>
    <row r="1708" ht="14.25" customHeight="1" s="86">
      <c r="E1708" s="53" t="inlineStr">
        <is>
          <t>NC</t>
        </is>
      </c>
      <c r="F1708" s="53" t="inlineStr">
        <is>
          <t>HYDE</t>
        </is>
      </c>
      <c r="G1708" s="59" t="n"/>
      <c r="N1708" s="59" t="n"/>
      <c r="O1708" s="59" t="n"/>
      <c r="X1708" s="61" t="n"/>
      <c r="Y1708" s="61" t="n"/>
    </row>
    <row r="1709" ht="14.25" customHeight="1" s="86">
      <c r="E1709" s="53" t="inlineStr">
        <is>
          <t>NC</t>
        </is>
      </c>
      <c r="F1709" s="53" t="inlineStr">
        <is>
          <t>IREDELL</t>
        </is>
      </c>
      <c r="G1709" s="59" t="n"/>
      <c r="N1709" s="59" t="n"/>
      <c r="O1709" s="59" t="n"/>
      <c r="X1709" s="61" t="n"/>
      <c r="Y1709" s="61" t="n"/>
    </row>
    <row r="1710" ht="14.25" customHeight="1" s="86">
      <c r="E1710" s="53" t="inlineStr">
        <is>
          <t>NC</t>
        </is>
      </c>
      <c r="F1710" s="53" t="inlineStr">
        <is>
          <t>JACKSON</t>
        </is>
      </c>
      <c r="G1710" s="59" t="n"/>
      <c r="N1710" s="59" t="n"/>
      <c r="O1710" s="59" t="n"/>
      <c r="X1710" s="61" t="n"/>
      <c r="Y1710" s="61" t="n"/>
    </row>
    <row r="1711" ht="14.25" customHeight="1" s="86">
      <c r="E1711" s="53" t="inlineStr">
        <is>
          <t>NC</t>
        </is>
      </c>
      <c r="F1711" s="53" t="inlineStr">
        <is>
          <t>JOHNSTON</t>
        </is>
      </c>
      <c r="G1711" s="59" t="n"/>
      <c r="N1711" s="59" t="n"/>
      <c r="O1711" s="59" t="n"/>
      <c r="X1711" s="61" t="n"/>
      <c r="Y1711" s="61" t="n"/>
    </row>
    <row r="1712" ht="14.25" customHeight="1" s="86">
      <c r="E1712" s="53" t="inlineStr">
        <is>
          <t>NC</t>
        </is>
      </c>
      <c r="F1712" s="53" t="inlineStr">
        <is>
          <t>JONES</t>
        </is>
      </c>
      <c r="G1712" s="59" t="n"/>
      <c r="N1712" s="59" t="n"/>
      <c r="O1712" s="59" t="n"/>
      <c r="X1712" s="61" t="n"/>
      <c r="Y1712" s="61" t="n"/>
    </row>
    <row r="1713" ht="14.25" customHeight="1" s="86">
      <c r="E1713" s="53" t="inlineStr">
        <is>
          <t>NC</t>
        </is>
      </c>
      <c r="F1713" s="53" t="inlineStr">
        <is>
          <t>LEE</t>
        </is>
      </c>
      <c r="G1713" s="59" t="n"/>
      <c r="N1713" s="59" t="n"/>
      <c r="O1713" s="59" t="n"/>
      <c r="X1713" s="61" t="n"/>
      <c r="Y1713" s="61" t="n"/>
    </row>
    <row r="1714" ht="14.25" customHeight="1" s="86">
      <c r="E1714" s="53" t="inlineStr">
        <is>
          <t>NC</t>
        </is>
      </c>
      <c r="F1714" s="53" t="inlineStr">
        <is>
          <t>LENOIR</t>
        </is>
      </c>
      <c r="G1714" s="59" t="n"/>
      <c r="N1714" s="59" t="n"/>
      <c r="O1714" s="59" t="n"/>
      <c r="X1714" s="61" t="n"/>
      <c r="Y1714" s="61" t="n"/>
    </row>
    <row r="1715" ht="14.25" customHeight="1" s="86">
      <c r="E1715" s="53" t="inlineStr">
        <is>
          <t>NC</t>
        </is>
      </c>
      <c r="F1715" s="53" t="inlineStr">
        <is>
          <t>LINCOLN</t>
        </is>
      </c>
      <c r="G1715" s="59" t="n"/>
      <c r="N1715" s="59" t="n"/>
      <c r="O1715" s="59" t="n"/>
      <c r="X1715" s="61" t="n"/>
      <c r="Y1715" s="61" t="n"/>
    </row>
    <row r="1716" ht="14.25" customHeight="1" s="86">
      <c r="E1716" s="53" t="inlineStr">
        <is>
          <t>NC</t>
        </is>
      </c>
      <c r="F1716" s="53" t="inlineStr">
        <is>
          <t>MACON</t>
        </is>
      </c>
      <c r="G1716" s="59" t="n"/>
      <c r="N1716" s="59" t="n"/>
      <c r="O1716" s="59" t="n"/>
      <c r="X1716" s="61" t="n"/>
      <c r="Y1716" s="61" t="n"/>
    </row>
    <row r="1717" ht="14.25" customHeight="1" s="86">
      <c r="E1717" s="53" t="inlineStr">
        <is>
          <t>NC</t>
        </is>
      </c>
      <c r="F1717" s="53" t="inlineStr">
        <is>
          <t>MADISON</t>
        </is>
      </c>
      <c r="G1717" s="59" t="n"/>
      <c r="N1717" s="59" t="n"/>
      <c r="O1717" s="59" t="n"/>
      <c r="X1717" s="61" t="n"/>
      <c r="Y1717" s="61" t="n"/>
    </row>
    <row r="1718" ht="14.25" customHeight="1" s="86">
      <c r="E1718" s="53" t="inlineStr">
        <is>
          <t>NC</t>
        </is>
      </c>
      <c r="F1718" s="53" t="inlineStr">
        <is>
          <t>MARTIN</t>
        </is>
      </c>
      <c r="G1718" s="59" t="n"/>
      <c r="N1718" s="59" t="n"/>
      <c r="O1718" s="59" t="n"/>
      <c r="X1718" s="61" t="n"/>
      <c r="Y1718" s="61" t="n"/>
    </row>
    <row r="1719" ht="14.25" customHeight="1" s="86">
      <c r="E1719" s="53" t="inlineStr">
        <is>
          <t>NC</t>
        </is>
      </c>
      <c r="F1719" s="53" t="inlineStr">
        <is>
          <t>MCDOWELL</t>
        </is>
      </c>
      <c r="G1719" s="59" t="n"/>
      <c r="N1719" s="59" t="n"/>
      <c r="O1719" s="59" t="n"/>
      <c r="X1719" s="61" t="n"/>
      <c r="Y1719" s="61" t="n"/>
    </row>
    <row r="1720" ht="14.25" customHeight="1" s="86">
      <c r="E1720" s="53" t="inlineStr">
        <is>
          <t>NC</t>
        </is>
      </c>
      <c r="F1720" s="53" t="inlineStr">
        <is>
          <t>MECKLENBURG</t>
        </is>
      </c>
      <c r="G1720" s="59" t="n"/>
      <c r="N1720" s="59" t="n"/>
      <c r="O1720" s="59" t="n"/>
      <c r="X1720" s="61" t="n"/>
      <c r="Y1720" s="61" t="n"/>
    </row>
    <row r="1721" ht="14.25" customHeight="1" s="86">
      <c r="E1721" s="53" t="inlineStr">
        <is>
          <t>NC</t>
        </is>
      </c>
      <c r="F1721" s="53" t="inlineStr">
        <is>
          <t>MITCHELL</t>
        </is>
      </c>
      <c r="G1721" s="59" t="n"/>
      <c r="N1721" s="59" t="n"/>
      <c r="O1721" s="59" t="n"/>
      <c r="X1721" s="61" t="n"/>
      <c r="Y1721" s="61" t="n"/>
    </row>
    <row r="1722" ht="14.25" customHeight="1" s="86">
      <c r="E1722" s="53" t="inlineStr">
        <is>
          <t>NC</t>
        </is>
      </c>
      <c r="F1722" s="53" t="inlineStr">
        <is>
          <t>MONTGOMERY</t>
        </is>
      </c>
      <c r="G1722" s="59" t="n"/>
      <c r="N1722" s="59" t="n"/>
      <c r="O1722" s="59" t="n"/>
      <c r="X1722" s="61" t="n"/>
      <c r="Y1722" s="61" t="n"/>
    </row>
    <row r="1723" ht="14.25" customHeight="1" s="86">
      <c r="E1723" s="53" t="inlineStr">
        <is>
          <t>NC</t>
        </is>
      </c>
      <c r="F1723" s="53" t="inlineStr">
        <is>
          <t>MOORE</t>
        </is>
      </c>
      <c r="G1723" s="59" t="n"/>
      <c r="N1723" s="59" t="n"/>
      <c r="O1723" s="59" t="n"/>
      <c r="X1723" s="61" t="n"/>
      <c r="Y1723" s="61" t="n"/>
    </row>
    <row r="1724" ht="14.25" customHeight="1" s="86">
      <c r="E1724" s="53" t="inlineStr">
        <is>
          <t>NC</t>
        </is>
      </c>
      <c r="F1724" s="53" t="inlineStr">
        <is>
          <t>NASH</t>
        </is>
      </c>
      <c r="G1724" s="59" t="n"/>
      <c r="N1724" s="59" t="n"/>
      <c r="O1724" s="59" t="n"/>
      <c r="X1724" s="61" t="n"/>
      <c r="Y1724" s="61" t="n"/>
    </row>
    <row r="1725" ht="14.25" customHeight="1" s="86">
      <c r="E1725" s="53" t="inlineStr">
        <is>
          <t>NC</t>
        </is>
      </c>
      <c r="F1725" s="53" t="inlineStr">
        <is>
          <t>NEW HANOVER</t>
        </is>
      </c>
      <c r="G1725" s="59" t="n"/>
      <c r="N1725" s="59" t="n"/>
      <c r="O1725" s="59" t="n"/>
      <c r="X1725" s="61" t="n"/>
      <c r="Y1725" s="61" t="n"/>
    </row>
    <row r="1726" ht="14.25" customHeight="1" s="86">
      <c r="E1726" s="53" t="inlineStr">
        <is>
          <t>NC</t>
        </is>
      </c>
      <c r="F1726" s="53" t="inlineStr">
        <is>
          <t>NORTHAMPTON</t>
        </is>
      </c>
      <c r="G1726" s="59" t="n"/>
      <c r="N1726" s="59" t="n"/>
      <c r="O1726" s="59" t="n"/>
      <c r="X1726" s="61" t="n"/>
      <c r="Y1726" s="61" t="n"/>
    </row>
    <row r="1727" ht="14.25" customHeight="1" s="86">
      <c r="E1727" s="53" t="inlineStr">
        <is>
          <t>NC</t>
        </is>
      </c>
      <c r="F1727" s="53" t="inlineStr">
        <is>
          <t>ONSLOW</t>
        </is>
      </c>
      <c r="G1727" s="59" t="n"/>
      <c r="N1727" s="59" t="n"/>
      <c r="O1727" s="59" t="n"/>
      <c r="X1727" s="61" t="n"/>
      <c r="Y1727" s="61" t="n"/>
    </row>
    <row r="1728" ht="14.25" customHeight="1" s="86">
      <c r="E1728" s="53" t="inlineStr">
        <is>
          <t>NC</t>
        </is>
      </c>
      <c r="F1728" s="53" t="inlineStr">
        <is>
          <t>ORANGE</t>
        </is>
      </c>
      <c r="G1728" s="59" t="n"/>
      <c r="N1728" s="59" t="n"/>
      <c r="O1728" s="59" t="n"/>
      <c r="X1728" s="61" t="n"/>
      <c r="Y1728" s="61" t="n"/>
    </row>
    <row r="1729" ht="14.25" customHeight="1" s="86">
      <c r="E1729" s="53" t="inlineStr">
        <is>
          <t>NC</t>
        </is>
      </c>
      <c r="F1729" s="53" t="inlineStr">
        <is>
          <t>PAMLICO</t>
        </is>
      </c>
      <c r="G1729" s="59" t="n"/>
      <c r="N1729" s="59" t="n"/>
      <c r="O1729" s="59" t="n"/>
      <c r="X1729" s="61" t="n"/>
      <c r="Y1729" s="61" t="n"/>
    </row>
    <row r="1730" ht="14.25" customHeight="1" s="86">
      <c r="E1730" s="53" t="inlineStr">
        <is>
          <t>NC</t>
        </is>
      </c>
      <c r="F1730" s="53" t="inlineStr">
        <is>
          <t>PASQUOTANK</t>
        </is>
      </c>
      <c r="G1730" s="59" t="n"/>
      <c r="N1730" s="59" t="n"/>
      <c r="O1730" s="59" t="n"/>
      <c r="X1730" s="61" t="n"/>
      <c r="Y1730" s="61" t="n"/>
    </row>
    <row r="1731" ht="14.25" customHeight="1" s="86">
      <c r="E1731" s="53" t="inlineStr">
        <is>
          <t>NC</t>
        </is>
      </c>
      <c r="F1731" s="53" t="inlineStr">
        <is>
          <t>PENDER</t>
        </is>
      </c>
      <c r="G1731" s="59" t="n"/>
      <c r="N1731" s="59" t="n"/>
      <c r="O1731" s="59" t="n"/>
      <c r="X1731" s="61" t="n"/>
      <c r="Y1731" s="61" t="n"/>
    </row>
    <row r="1732" ht="14.25" customHeight="1" s="86">
      <c r="E1732" s="53" t="inlineStr">
        <is>
          <t>NC</t>
        </is>
      </c>
      <c r="F1732" s="53" t="inlineStr">
        <is>
          <t>PERQUIMANS</t>
        </is>
      </c>
      <c r="G1732" s="59" t="n"/>
      <c r="N1732" s="59" t="n"/>
      <c r="O1732" s="59" t="n"/>
      <c r="X1732" s="61" t="n"/>
      <c r="Y1732" s="61" t="n"/>
    </row>
    <row r="1733" ht="14.25" customHeight="1" s="86">
      <c r="E1733" s="53" t="inlineStr">
        <is>
          <t>NC</t>
        </is>
      </c>
      <c r="F1733" s="53" t="inlineStr">
        <is>
          <t>PERSON</t>
        </is>
      </c>
      <c r="G1733" s="59" t="n"/>
      <c r="N1733" s="59" t="n"/>
      <c r="O1733" s="59" t="n"/>
      <c r="X1733" s="61" t="n"/>
      <c r="Y1733" s="61" t="n"/>
    </row>
    <row r="1734" ht="14.25" customHeight="1" s="86">
      <c r="E1734" s="53" t="inlineStr">
        <is>
          <t>NC</t>
        </is>
      </c>
      <c r="F1734" s="53" t="inlineStr">
        <is>
          <t>PITT</t>
        </is>
      </c>
      <c r="G1734" s="59" t="n"/>
      <c r="N1734" s="59" t="n"/>
      <c r="O1734" s="59" t="n"/>
      <c r="X1734" s="61" t="n"/>
      <c r="Y1734" s="61" t="n"/>
    </row>
    <row r="1735" ht="14.25" customHeight="1" s="86">
      <c r="E1735" s="53" t="inlineStr">
        <is>
          <t>NC</t>
        </is>
      </c>
      <c r="F1735" s="53" t="inlineStr">
        <is>
          <t>POLK</t>
        </is>
      </c>
      <c r="G1735" s="59" t="n"/>
      <c r="N1735" s="59" t="n"/>
      <c r="O1735" s="59" t="n"/>
      <c r="X1735" s="61" t="n"/>
      <c r="Y1735" s="61" t="n"/>
    </row>
    <row r="1736" ht="14.25" customHeight="1" s="86">
      <c r="E1736" s="53" t="inlineStr">
        <is>
          <t>NC</t>
        </is>
      </c>
      <c r="F1736" s="53" t="inlineStr">
        <is>
          <t>RANDOLPH</t>
        </is>
      </c>
      <c r="G1736" s="59" t="n"/>
      <c r="N1736" s="59" t="n"/>
      <c r="O1736" s="59" t="n"/>
      <c r="X1736" s="61" t="n"/>
      <c r="Y1736" s="61" t="n"/>
    </row>
    <row r="1737" ht="14.25" customHeight="1" s="86">
      <c r="E1737" s="53" t="inlineStr">
        <is>
          <t>NC</t>
        </is>
      </c>
      <c r="F1737" s="53" t="inlineStr">
        <is>
          <t>RICHMOND</t>
        </is>
      </c>
      <c r="G1737" s="59" t="n"/>
      <c r="N1737" s="59" t="n"/>
      <c r="O1737" s="59" t="n"/>
      <c r="X1737" s="61" t="n"/>
      <c r="Y1737" s="61" t="n"/>
    </row>
    <row r="1738" ht="14.25" customHeight="1" s="86">
      <c r="E1738" s="53" t="inlineStr">
        <is>
          <t>NC</t>
        </is>
      </c>
      <c r="F1738" s="53" t="inlineStr">
        <is>
          <t>ROBESON</t>
        </is>
      </c>
      <c r="G1738" s="59" t="n"/>
      <c r="N1738" s="59" t="n"/>
      <c r="O1738" s="59" t="n"/>
      <c r="X1738" s="61" t="n"/>
      <c r="Y1738" s="61" t="n"/>
    </row>
    <row r="1739" ht="14.25" customHeight="1" s="86">
      <c r="E1739" s="53" t="inlineStr">
        <is>
          <t>NC</t>
        </is>
      </c>
      <c r="F1739" s="53" t="inlineStr">
        <is>
          <t>ROCKINGHAM</t>
        </is>
      </c>
      <c r="G1739" s="59" t="n"/>
      <c r="N1739" s="59" t="n"/>
      <c r="O1739" s="59" t="n"/>
      <c r="X1739" s="61" t="n"/>
      <c r="Y1739" s="61" t="n"/>
    </row>
    <row r="1740" ht="14.25" customHeight="1" s="86">
      <c r="E1740" s="53" t="inlineStr">
        <is>
          <t>NC</t>
        </is>
      </c>
      <c r="F1740" s="53" t="inlineStr">
        <is>
          <t>ROWAN</t>
        </is>
      </c>
      <c r="G1740" s="59" t="n"/>
      <c r="N1740" s="59" t="n"/>
      <c r="O1740" s="59" t="n"/>
      <c r="X1740" s="61" t="n"/>
      <c r="Y1740" s="61" t="n"/>
    </row>
    <row r="1741" ht="14.25" customHeight="1" s="86">
      <c r="E1741" s="53" t="inlineStr">
        <is>
          <t>NC</t>
        </is>
      </c>
      <c r="F1741" s="53" t="inlineStr">
        <is>
          <t>RUTHERFORD</t>
        </is>
      </c>
      <c r="G1741" s="59" t="n"/>
      <c r="N1741" s="59" t="n"/>
      <c r="O1741" s="59" t="n"/>
      <c r="X1741" s="61" t="n"/>
      <c r="Y1741" s="61" t="n"/>
    </row>
    <row r="1742" ht="14.25" customHeight="1" s="86">
      <c r="E1742" s="53" t="inlineStr">
        <is>
          <t>NC</t>
        </is>
      </c>
      <c r="F1742" s="53" t="inlineStr">
        <is>
          <t>SAMPSON</t>
        </is>
      </c>
      <c r="G1742" s="59" t="n"/>
      <c r="N1742" s="59" t="n"/>
      <c r="O1742" s="59" t="n"/>
      <c r="X1742" s="61" t="n"/>
      <c r="Y1742" s="61" t="n"/>
    </row>
    <row r="1743" ht="14.25" customHeight="1" s="86">
      <c r="E1743" s="53" t="inlineStr">
        <is>
          <t>NC</t>
        </is>
      </c>
      <c r="F1743" s="53" t="inlineStr">
        <is>
          <t>SCOTLAND</t>
        </is>
      </c>
      <c r="G1743" s="59" t="n"/>
      <c r="N1743" s="59" t="n"/>
      <c r="O1743" s="59" t="n"/>
      <c r="X1743" s="61" t="n"/>
      <c r="Y1743" s="61" t="n"/>
    </row>
    <row r="1744" ht="14.25" customHeight="1" s="86">
      <c r="E1744" s="53" t="inlineStr">
        <is>
          <t>NC</t>
        </is>
      </c>
      <c r="F1744" s="53" t="inlineStr">
        <is>
          <t>STANLY</t>
        </is>
      </c>
      <c r="G1744" s="59" t="n"/>
      <c r="N1744" s="59" t="n"/>
      <c r="O1744" s="59" t="n"/>
      <c r="X1744" s="61" t="n"/>
      <c r="Y1744" s="61" t="n"/>
    </row>
    <row r="1745" ht="14.25" customHeight="1" s="86">
      <c r="E1745" s="53" t="inlineStr">
        <is>
          <t>NC</t>
        </is>
      </c>
      <c r="F1745" s="53" t="inlineStr">
        <is>
          <t>STOKES</t>
        </is>
      </c>
      <c r="G1745" s="59" t="n"/>
      <c r="N1745" s="59" t="n"/>
      <c r="O1745" s="59" t="n"/>
      <c r="X1745" s="61" t="n"/>
      <c r="Y1745" s="61" t="n"/>
    </row>
    <row r="1746" ht="14.25" customHeight="1" s="86">
      <c r="E1746" s="53" t="inlineStr">
        <is>
          <t>NC</t>
        </is>
      </c>
      <c r="F1746" s="53" t="inlineStr">
        <is>
          <t>SURRY</t>
        </is>
      </c>
      <c r="G1746" s="59" t="n"/>
      <c r="N1746" s="59" t="n"/>
      <c r="O1746" s="59" t="n"/>
      <c r="X1746" s="61" t="n"/>
      <c r="Y1746" s="61" t="n"/>
    </row>
    <row r="1747" ht="14.25" customHeight="1" s="86">
      <c r="E1747" s="53" t="inlineStr">
        <is>
          <t>NC</t>
        </is>
      </c>
      <c r="F1747" s="53" t="inlineStr">
        <is>
          <t>SWAIN</t>
        </is>
      </c>
      <c r="G1747" s="59" t="n"/>
      <c r="N1747" s="59" t="n"/>
      <c r="O1747" s="59" t="n"/>
      <c r="X1747" s="61" t="n"/>
      <c r="Y1747" s="61" t="n"/>
    </row>
    <row r="1748" ht="14.25" customHeight="1" s="86">
      <c r="E1748" s="53" t="inlineStr">
        <is>
          <t>NC</t>
        </is>
      </c>
      <c r="F1748" s="53" t="inlineStr">
        <is>
          <t>TRANSYLVANIA</t>
        </is>
      </c>
      <c r="G1748" s="59" t="n"/>
      <c r="N1748" s="59" t="n"/>
      <c r="O1748" s="59" t="n"/>
      <c r="X1748" s="61" t="n"/>
      <c r="Y1748" s="61" t="n"/>
    </row>
    <row r="1749" ht="14.25" customHeight="1" s="86">
      <c r="E1749" s="53" t="inlineStr">
        <is>
          <t>NC</t>
        </is>
      </c>
      <c r="F1749" s="53" t="inlineStr">
        <is>
          <t>TYRRELL</t>
        </is>
      </c>
      <c r="G1749" s="59" t="n"/>
      <c r="N1749" s="59" t="n"/>
      <c r="O1749" s="59" t="n"/>
      <c r="X1749" s="61" t="n"/>
      <c r="Y1749" s="61" t="n"/>
    </row>
    <row r="1750" ht="14.25" customHeight="1" s="86">
      <c r="E1750" s="53" t="inlineStr">
        <is>
          <t>NC</t>
        </is>
      </c>
      <c r="F1750" s="53" t="inlineStr">
        <is>
          <t>UNION</t>
        </is>
      </c>
      <c r="G1750" s="59" t="n"/>
      <c r="N1750" s="59" t="n"/>
      <c r="O1750" s="59" t="n"/>
      <c r="X1750" s="61" t="n"/>
      <c r="Y1750" s="61" t="n"/>
    </row>
    <row r="1751" ht="14.25" customHeight="1" s="86">
      <c r="E1751" s="53" t="inlineStr">
        <is>
          <t>NC</t>
        </is>
      </c>
      <c r="F1751" s="53" t="inlineStr">
        <is>
          <t>VANCE</t>
        </is>
      </c>
      <c r="G1751" s="59" t="n"/>
      <c r="N1751" s="59" t="n"/>
      <c r="O1751" s="59" t="n"/>
      <c r="X1751" s="61" t="n"/>
      <c r="Y1751" s="61" t="n"/>
    </row>
    <row r="1752" ht="14.25" customHeight="1" s="86">
      <c r="E1752" s="53" t="inlineStr">
        <is>
          <t>NC</t>
        </is>
      </c>
      <c r="F1752" s="53" t="inlineStr">
        <is>
          <t>WAKE</t>
        </is>
      </c>
      <c r="G1752" s="59" t="n"/>
      <c r="N1752" s="59" t="n"/>
      <c r="O1752" s="59" t="n"/>
      <c r="X1752" s="61" t="n"/>
      <c r="Y1752" s="61" t="n"/>
    </row>
    <row r="1753" ht="14.25" customHeight="1" s="86">
      <c r="E1753" s="53" t="inlineStr">
        <is>
          <t>NC</t>
        </is>
      </c>
      <c r="F1753" s="53" t="inlineStr">
        <is>
          <t>WARREN</t>
        </is>
      </c>
      <c r="G1753" s="59" t="n"/>
      <c r="N1753" s="59" t="n"/>
      <c r="O1753" s="59" t="n"/>
      <c r="X1753" s="61" t="n"/>
      <c r="Y1753" s="61" t="n"/>
    </row>
    <row r="1754" ht="14.25" customHeight="1" s="86">
      <c r="E1754" s="53" t="inlineStr">
        <is>
          <t>NC</t>
        </is>
      </c>
      <c r="F1754" s="53" t="inlineStr">
        <is>
          <t>WASHINGTON</t>
        </is>
      </c>
      <c r="G1754" s="59" t="n"/>
      <c r="N1754" s="59" t="n"/>
      <c r="O1754" s="59" t="n"/>
      <c r="X1754" s="61" t="n"/>
      <c r="Y1754" s="61" t="n"/>
    </row>
    <row r="1755" ht="14.25" customHeight="1" s="86">
      <c r="E1755" s="53" t="inlineStr">
        <is>
          <t>NC</t>
        </is>
      </c>
      <c r="F1755" s="53" t="inlineStr">
        <is>
          <t>WATAUGA</t>
        </is>
      </c>
      <c r="G1755" s="59" t="n"/>
      <c r="N1755" s="59" t="n"/>
      <c r="O1755" s="59" t="n"/>
      <c r="X1755" s="61" t="n"/>
      <c r="Y1755" s="61" t="n"/>
    </row>
    <row r="1756" ht="14.25" customHeight="1" s="86">
      <c r="E1756" s="53" t="inlineStr">
        <is>
          <t>NC</t>
        </is>
      </c>
      <c r="F1756" s="53" t="inlineStr">
        <is>
          <t>WAYNE</t>
        </is>
      </c>
      <c r="G1756" s="59" t="n"/>
      <c r="N1756" s="59" t="n"/>
      <c r="O1756" s="59" t="n"/>
      <c r="X1756" s="61" t="n"/>
      <c r="Y1756" s="61" t="n"/>
    </row>
    <row r="1757" ht="14.25" customHeight="1" s="86">
      <c r="E1757" s="53" t="inlineStr">
        <is>
          <t>NC</t>
        </is>
      </c>
      <c r="F1757" s="53" t="inlineStr">
        <is>
          <t>WILKES</t>
        </is>
      </c>
      <c r="G1757" s="59" t="n"/>
      <c r="N1757" s="59" t="n"/>
      <c r="O1757" s="59" t="n"/>
      <c r="X1757" s="61" t="n"/>
      <c r="Y1757" s="61" t="n"/>
    </row>
    <row r="1758" ht="14.25" customHeight="1" s="86">
      <c r="E1758" s="53" t="inlineStr">
        <is>
          <t>NC</t>
        </is>
      </c>
      <c r="F1758" s="53" t="inlineStr">
        <is>
          <t>WILSON</t>
        </is>
      </c>
      <c r="G1758" s="59" t="n"/>
      <c r="N1758" s="59" t="n"/>
      <c r="O1758" s="59" t="n"/>
      <c r="X1758" s="61" t="n"/>
      <c r="Y1758" s="61" t="n"/>
    </row>
    <row r="1759" ht="14.25" customHeight="1" s="86">
      <c r="E1759" s="53" t="inlineStr">
        <is>
          <t>NC</t>
        </is>
      </c>
      <c r="F1759" s="53" t="inlineStr">
        <is>
          <t>YADKIN</t>
        </is>
      </c>
      <c r="G1759" s="59" t="n"/>
      <c r="N1759" s="59" t="n"/>
      <c r="O1759" s="59" t="n"/>
      <c r="X1759" s="61" t="n"/>
      <c r="Y1759" s="61" t="n"/>
    </row>
    <row r="1760" ht="14.25" customHeight="1" s="86">
      <c r="E1760" s="53" t="inlineStr">
        <is>
          <t>NC</t>
        </is>
      </c>
      <c r="F1760" s="53" t="inlineStr">
        <is>
          <t>YANCEY</t>
        </is>
      </c>
      <c r="G1760" s="59" t="n"/>
      <c r="N1760" s="59" t="n"/>
      <c r="O1760" s="59" t="n"/>
      <c r="X1760" s="61" t="n"/>
      <c r="Y1760" s="61" t="n"/>
    </row>
    <row r="1761" ht="14.25" customHeight="1" s="86">
      <c r="E1761" s="53" t="inlineStr">
        <is>
          <t>ND</t>
        </is>
      </c>
      <c r="F1761" s="53" t="inlineStr">
        <is>
          <t>ADAMS</t>
        </is>
      </c>
      <c r="G1761" s="59" t="n"/>
      <c r="N1761" s="59" t="n"/>
      <c r="O1761" s="59" t="n"/>
      <c r="X1761" s="61" t="n"/>
      <c r="Y1761" s="61" t="n"/>
    </row>
    <row r="1762" ht="14.25" customHeight="1" s="86">
      <c r="E1762" s="53" t="inlineStr">
        <is>
          <t>ND</t>
        </is>
      </c>
      <c r="F1762" s="53" t="inlineStr">
        <is>
          <t>BARNES</t>
        </is>
      </c>
      <c r="G1762" s="59" t="n"/>
      <c r="N1762" s="59" t="n"/>
      <c r="O1762" s="59" t="n"/>
      <c r="X1762" s="61" t="n"/>
      <c r="Y1762" s="61" t="n"/>
    </row>
    <row r="1763" ht="14.25" customHeight="1" s="86">
      <c r="E1763" s="53" t="inlineStr">
        <is>
          <t>ND</t>
        </is>
      </c>
      <c r="F1763" s="53" t="inlineStr">
        <is>
          <t>BENSON</t>
        </is>
      </c>
      <c r="G1763" s="59" t="n"/>
      <c r="N1763" s="59" t="n"/>
      <c r="O1763" s="59" t="n"/>
      <c r="X1763" s="61" t="n"/>
      <c r="Y1763" s="61" t="n"/>
    </row>
    <row r="1764" ht="14.25" customHeight="1" s="86">
      <c r="E1764" s="53" t="inlineStr">
        <is>
          <t>ND</t>
        </is>
      </c>
      <c r="F1764" s="53" t="inlineStr">
        <is>
          <t>BILLINGS</t>
        </is>
      </c>
      <c r="G1764" s="59" t="n"/>
      <c r="N1764" s="59" t="n"/>
      <c r="O1764" s="59" t="n"/>
      <c r="X1764" s="61" t="n"/>
      <c r="Y1764" s="61" t="n"/>
    </row>
    <row r="1765" ht="14.25" customHeight="1" s="86">
      <c r="E1765" s="53" t="inlineStr">
        <is>
          <t>ND</t>
        </is>
      </c>
      <c r="F1765" s="53" t="inlineStr">
        <is>
          <t>BOTTINEAU</t>
        </is>
      </c>
      <c r="G1765" s="59" t="n"/>
      <c r="N1765" s="59" t="n"/>
      <c r="O1765" s="59" t="n"/>
      <c r="X1765" s="61" t="n"/>
      <c r="Y1765" s="61" t="n"/>
    </row>
    <row r="1766" ht="14.25" customHeight="1" s="86">
      <c r="E1766" s="53" t="inlineStr">
        <is>
          <t>ND</t>
        </is>
      </c>
      <c r="F1766" s="53" t="inlineStr">
        <is>
          <t>BOWMAN</t>
        </is>
      </c>
      <c r="G1766" s="59" t="n"/>
      <c r="N1766" s="59" t="n"/>
      <c r="O1766" s="59" t="n"/>
      <c r="X1766" s="61" t="n"/>
      <c r="Y1766" s="61" t="n"/>
    </row>
    <row r="1767" ht="14.25" customHeight="1" s="86">
      <c r="E1767" s="53" t="inlineStr">
        <is>
          <t>ND</t>
        </is>
      </c>
      <c r="F1767" s="53" t="inlineStr">
        <is>
          <t>BURKE</t>
        </is>
      </c>
      <c r="G1767" s="59" t="n"/>
      <c r="N1767" s="59" t="n"/>
      <c r="O1767" s="59" t="n"/>
      <c r="X1767" s="61" t="n"/>
      <c r="Y1767" s="61" t="n"/>
    </row>
    <row r="1768" ht="14.25" customHeight="1" s="86">
      <c r="E1768" s="53" t="inlineStr">
        <is>
          <t>ND</t>
        </is>
      </c>
      <c r="F1768" s="53" t="inlineStr">
        <is>
          <t>BURLEIGH</t>
        </is>
      </c>
      <c r="G1768" s="59" t="n"/>
      <c r="N1768" s="59" t="n"/>
      <c r="O1768" s="59" t="n"/>
      <c r="X1768" s="61" t="n"/>
      <c r="Y1768" s="61" t="n"/>
    </row>
    <row r="1769" ht="14.25" customHeight="1" s="86">
      <c r="E1769" s="53" t="inlineStr">
        <is>
          <t>ND</t>
        </is>
      </c>
      <c r="F1769" s="53" t="inlineStr">
        <is>
          <t>CASS</t>
        </is>
      </c>
      <c r="G1769" s="59" t="n"/>
      <c r="N1769" s="59" t="n"/>
      <c r="O1769" s="59" t="n"/>
      <c r="X1769" s="61" t="n"/>
      <c r="Y1769" s="61" t="n"/>
    </row>
    <row r="1770" ht="14.25" customHeight="1" s="86">
      <c r="E1770" s="53" t="inlineStr">
        <is>
          <t>ND</t>
        </is>
      </c>
      <c r="F1770" s="53" t="inlineStr">
        <is>
          <t>CAVALIER</t>
        </is>
      </c>
      <c r="G1770" s="59" t="n"/>
      <c r="N1770" s="59" t="n"/>
      <c r="O1770" s="59" t="n"/>
      <c r="X1770" s="61" t="n"/>
      <c r="Y1770" s="61" t="n"/>
    </row>
    <row r="1771" ht="14.25" customHeight="1" s="86">
      <c r="E1771" s="53" t="inlineStr">
        <is>
          <t>ND</t>
        </is>
      </c>
      <c r="F1771" s="53" t="inlineStr">
        <is>
          <t>DICKEY</t>
        </is>
      </c>
      <c r="G1771" s="59" t="n"/>
      <c r="N1771" s="59" t="n"/>
      <c r="O1771" s="59" t="n"/>
      <c r="X1771" s="61" t="n"/>
      <c r="Y1771" s="61" t="n"/>
    </row>
    <row r="1772" ht="14.25" customHeight="1" s="86">
      <c r="E1772" s="53" t="inlineStr">
        <is>
          <t>ND</t>
        </is>
      </c>
      <c r="F1772" s="53" t="inlineStr">
        <is>
          <t>DIVIDE</t>
        </is>
      </c>
      <c r="G1772" s="59" t="n"/>
      <c r="N1772" s="59" t="n"/>
      <c r="O1772" s="59" t="n"/>
      <c r="X1772" s="61" t="n"/>
      <c r="Y1772" s="61" t="n"/>
    </row>
    <row r="1773" ht="14.25" customHeight="1" s="86">
      <c r="E1773" s="53" t="inlineStr">
        <is>
          <t>ND</t>
        </is>
      </c>
      <c r="F1773" s="53" t="inlineStr">
        <is>
          <t>DUNN</t>
        </is>
      </c>
      <c r="G1773" s="59" t="n"/>
      <c r="N1773" s="59" t="n"/>
      <c r="O1773" s="59" t="n"/>
      <c r="X1773" s="61" t="n"/>
      <c r="Y1773" s="61" t="n"/>
    </row>
    <row r="1774" ht="14.25" customHeight="1" s="86">
      <c r="E1774" s="53" t="inlineStr">
        <is>
          <t>ND</t>
        </is>
      </c>
      <c r="F1774" s="53" t="inlineStr">
        <is>
          <t>EDDY</t>
        </is>
      </c>
      <c r="G1774" s="59" t="n"/>
      <c r="N1774" s="59" t="n"/>
      <c r="O1774" s="59" t="n"/>
      <c r="X1774" s="61" t="n"/>
      <c r="Y1774" s="61" t="n"/>
    </row>
    <row r="1775" ht="14.25" customHeight="1" s="86">
      <c r="E1775" s="53" t="inlineStr">
        <is>
          <t>ND</t>
        </is>
      </c>
      <c r="F1775" s="53" t="inlineStr">
        <is>
          <t>EMMONS</t>
        </is>
      </c>
      <c r="G1775" s="59" t="n"/>
      <c r="N1775" s="59" t="n"/>
      <c r="O1775" s="59" t="n"/>
      <c r="X1775" s="61" t="n"/>
      <c r="Y1775" s="61" t="n"/>
    </row>
    <row r="1776" ht="14.25" customHeight="1" s="86">
      <c r="E1776" s="53" t="inlineStr">
        <is>
          <t>ND</t>
        </is>
      </c>
      <c r="F1776" s="53" t="inlineStr">
        <is>
          <t>FOSTER</t>
        </is>
      </c>
      <c r="G1776" s="59" t="n"/>
      <c r="N1776" s="59" t="n"/>
      <c r="O1776" s="59" t="n"/>
      <c r="X1776" s="61" t="n"/>
      <c r="Y1776" s="61" t="n"/>
    </row>
    <row r="1777" ht="14.25" customHeight="1" s="86">
      <c r="E1777" s="53" t="inlineStr">
        <is>
          <t>ND</t>
        </is>
      </c>
      <c r="F1777" s="53" t="inlineStr">
        <is>
          <t>GOLDEN VALLEY</t>
        </is>
      </c>
      <c r="G1777" s="59" t="n"/>
      <c r="N1777" s="59" t="n"/>
      <c r="O1777" s="59" t="n"/>
      <c r="X1777" s="61" t="n"/>
      <c r="Y1777" s="61" t="n"/>
    </row>
    <row r="1778" ht="14.25" customHeight="1" s="86">
      <c r="E1778" s="53" t="inlineStr">
        <is>
          <t>ND</t>
        </is>
      </c>
      <c r="F1778" s="53" t="inlineStr">
        <is>
          <t>GRAND FORKS</t>
        </is>
      </c>
      <c r="G1778" s="59" t="n"/>
      <c r="N1778" s="59" t="n"/>
      <c r="O1778" s="59" t="n"/>
      <c r="X1778" s="61" t="n"/>
      <c r="Y1778" s="61" t="n"/>
    </row>
    <row r="1779" ht="14.25" customHeight="1" s="86">
      <c r="E1779" s="53" t="inlineStr">
        <is>
          <t>ND</t>
        </is>
      </c>
      <c r="F1779" s="53" t="inlineStr">
        <is>
          <t>GRANT</t>
        </is>
      </c>
      <c r="G1779" s="59" t="n"/>
      <c r="N1779" s="59" t="n"/>
      <c r="O1779" s="59" t="n"/>
      <c r="X1779" s="61" t="n"/>
      <c r="Y1779" s="61" t="n"/>
    </row>
    <row r="1780" ht="14.25" customHeight="1" s="86">
      <c r="E1780" s="53" t="inlineStr">
        <is>
          <t>ND</t>
        </is>
      </c>
      <c r="F1780" s="53" t="inlineStr">
        <is>
          <t>GRIGGS</t>
        </is>
      </c>
      <c r="G1780" s="59" t="n"/>
      <c r="N1780" s="59" t="n"/>
      <c r="O1780" s="59" t="n"/>
      <c r="X1780" s="61" t="n"/>
      <c r="Y1780" s="61" t="n"/>
    </row>
    <row r="1781" ht="14.25" customHeight="1" s="86">
      <c r="E1781" s="53" t="inlineStr">
        <is>
          <t>ND</t>
        </is>
      </c>
      <c r="F1781" s="53" t="inlineStr">
        <is>
          <t>HETTINGER</t>
        </is>
      </c>
      <c r="G1781" s="59" t="n"/>
      <c r="N1781" s="59" t="n"/>
      <c r="O1781" s="59" t="n"/>
      <c r="X1781" s="61" t="n"/>
      <c r="Y1781" s="61" t="n"/>
    </row>
    <row r="1782" ht="14.25" customHeight="1" s="86">
      <c r="E1782" s="53" t="inlineStr">
        <is>
          <t>ND</t>
        </is>
      </c>
      <c r="F1782" s="53" t="inlineStr">
        <is>
          <t>KIDDER</t>
        </is>
      </c>
      <c r="G1782" s="59" t="n"/>
      <c r="N1782" s="59" t="n"/>
      <c r="O1782" s="59" t="n"/>
      <c r="X1782" s="61" t="n"/>
      <c r="Y1782" s="61" t="n"/>
    </row>
    <row r="1783" ht="14.25" customHeight="1" s="86">
      <c r="E1783" s="53" t="inlineStr">
        <is>
          <t>ND</t>
        </is>
      </c>
      <c r="F1783" s="53" t="inlineStr">
        <is>
          <t>LAMOURE</t>
        </is>
      </c>
      <c r="G1783" s="59" t="n"/>
      <c r="N1783" s="59" t="n"/>
      <c r="O1783" s="59" t="n"/>
      <c r="X1783" s="61" t="n"/>
      <c r="Y1783" s="61" t="n"/>
    </row>
    <row r="1784" ht="14.25" customHeight="1" s="86">
      <c r="E1784" s="53" t="inlineStr">
        <is>
          <t>ND</t>
        </is>
      </c>
      <c r="F1784" s="53" t="inlineStr">
        <is>
          <t>LOGAN</t>
        </is>
      </c>
      <c r="G1784" s="59" t="n"/>
      <c r="N1784" s="59" t="n"/>
      <c r="O1784" s="59" t="n"/>
      <c r="X1784" s="61" t="n"/>
      <c r="Y1784" s="61" t="n"/>
    </row>
    <row r="1785" ht="14.25" customHeight="1" s="86">
      <c r="E1785" s="53" t="inlineStr">
        <is>
          <t>ND</t>
        </is>
      </c>
      <c r="F1785" s="53" t="inlineStr">
        <is>
          <t>MCHENRY</t>
        </is>
      </c>
      <c r="G1785" s="59" t="n"/>
      <c r="N1785" s="59" t="n"/>
      <c r="O1785" s="59" t="n"/>
      <c r="X1785" s="61" t="n"/>
      <c r="Y1785" s="61" t="n"/>
    </row>
    <row r="1786" ht="14.25" customHeight="1" s="86">
      <c r="E1786" s="53" t="inlineStr">
        <is>
          <t>ND</t>
        </is>
      </c>
      <c r="F1786" s="53" t="inlineStr">
        <is>
          <t>MCINTOSH</t>
        </is>
      </c>
      <c r="G1786" s="59" t="n"/>
      <c r="N1786" s="59" t="n"/>
      <c r="O1786" s="59" t="n"/>
      <c r="X1786" s="61" t="n"/>
      <c r="Y1786" s="61" t="n"/>
    </row>
    <row r="1787" ht="14.25" customHeight="1" s="86">
      <c r="E1787" s="53" t="inlineStr">
        <is>
          <t>ND</t>
        </is>
      </c>
      <c r="F1787" s="53" t="inlineStr">
        <is>
          <t>MCKENZIE</t>
        </is>
      </c>
      <c r="G1787" s="59" t="n"/>
      <c r="N1787" s="59" t="n"/>
      <c r="O1787" s="59" t="n"/>
      <c r="X1787" s="61" t="n"/>
      <c r="Y1787" s="61" t="n"/>
    </row>
    <row r="1788" ht="14.25" customHeight="1" s="86">
      <c r="E1788" s="53" t="inlineStr">
        <is>
          <t>ND</t>
        </is>
      </c>
      <c r="F1788" s="53" t="inlineStr">
        <is>
          <t>MCLEAN</t>
        </is>
      </c>
      <c r="G1788" s="59" t="n"/>
      <c r="N1788" s="59" t="n"/>
      <c r="O1788" s="59" t="n"/>
      <c r="X1788" s="61" t="n"/>
      <c r="Y1788" s="61" t="n"/>
    </row>
    <row r="1789" ht="14.25" customHeight="1" s="86">
      <c r="E1789" s="53" t="inlineStr">
        <is>
          <t>ND</t>
        </is>
      </c>
      <c r="F1789" s="53" t="inlineStr">
        <is>
          <t>MERCER</t>
        </is>
      </c>
      <c r="G1789" s="59" t="n"/>
      <c r="N1789" s="59" t="n"/>
      <c r="O1789" s="59" t="n"/>
      <c r="X1789" s="61" t="n"/>
      <c r="Y1789" s="61" t="n"/>
    </row>
    <row r="1790" ht="14.25" customHeight="1" s="86">
      <c r="E1790" s="53" t="inlineStr">
        <is>
          <t>ND</t>
        </is>
      </c>
      <c r="F1790" s="53" t="inlineStr">
        <is>
          <t>MORTON</t>
        </is>
      </c>
      <c r="G1790" s="59" t="n"/>
      <c r="N1790" s="59" t="n"/>
      <c r="O1790" s="59" t="n"/>
      <c r="X1790" s="61" t="n"/>
      <c r="Y1790" s="61" t="n"/>
    </row>
    <row r="1791" ht="14.25" customHeight="1" s="86">
      <c r="E1791" s="53" t="inlineStr">
        <is>
          <t>ND</t>
        </is>
      </c>
      <c r="F1791" s="53" t="inlineStr">
        <is>
          <t>MOUNTRAIL</t>
        </is>
      </c>
      <c r="G1791" s="59" t="n"/>
      <c r="N1791" s="59" t="n"/>
      <c r="O1791" s="59" t="n"/>
      <c r="X1791" s="61" t="n"/>
      <c r="Y1791" s="61" t="n"/>
    </row>
    <row r="1792" ht="14.25" customHeight="1" s="86">
      <c r="E1792" s="53" t="inlineStr">
        <is>
          <t>ND</t>
        </is>
      </c>
      <c r="F1792" s="53" t="inlineStr">
        <is>
          <t>NELSON</t>
        </is>
      </c>
      <c r="G1792" s="59" t="n"/>
      <c r="N1792" s="59" t="n"/>
      <c r="O1792" s="59" t="n"/>
      <c r="X1792" s="61" t="n"/>
      <c r="Y1792" s="61" t="n"/>
    </row>
    <row r="1793" ht="14.25" customHeight="1" s="86">
      <c r="E1793" s="53" t="inlineStr">
        <is>
          <t>ND</t>
        </is>
      </c>
      <c r="F1793" s="53" t="inlineStr">
        <is>
          <t>OLIVER</t>
        </is>
      </c>
      <c r="G1793" s="59" t="n"/>
      <c r="N1793" s="59" t="n"/>
      <c r="O1793" s="59" t="n"/>
      <c r="X1793" s="61" t="n"/>
      <c r="Y1793" s="61" t="n"/>
    </row>
    <row r="1794" ht="14.25" customHeight="1" s="86">
      <c r="E1794" s="53" t="inlineStr">
        <is>
          <t>ND</t>
        </is>
      </c>
      <c r="F1794" s="53" t="inlineStr">
        <is>
          <t>PEMBINA</t>
        </is>
      </c>
      <c r="G1794" s="59" t="n"/>
      <c r="N1794" s="59" t="n"/>
      <c r="O1794" s="59" t="n"/>
      <c r="X1794" s="61" t="n"/>
      <c r="Y1794" s="61" t="n"/>
    </row>
    <row r="1795" ht="14.25" customHeight="1" s="86">
      <c r="E1795" s="53" t="inlineStr">
        <is>
          <t>ND</t>
        </is>
      </c>
      <c r="F1795" s="53" t="inlineStr">
        <is>
          <t>PIERCE</t>
        </is>
      </c>
      <c r="G1795" s="59" t="n"/>
      <c r="N1795" s="59" t="n"/>
      <c r="O1795" s="59" t="n"/>
      <c r="X1795" s="61" t="n"/>
      <c r="Y1795" s="61" t="n"/>
    </row>
    <row r="1796" ht="14.25" customHeight="1" s="86">
      <c r="E1796" s="53" t="inlineStr">
        <is>
          <t>ND</t>
        </is>
      </c>
      <c r="F1796" s="53" t="inlineStr">
        <is>
          <t>RAMSEY</t>
        </is>
      </c>
      <c r="G1796" s="59" t="n"/>
      <c r="N1796" s="59" t="n"/>
      <c r="O1796" s="59" t="n"/>
      <c r="X1796" s="61" t="n"/>
      <c r="Y1796" s="61" t="n"/>
    </row>
    <row r="1797" ht="14.25" customHeight="1" s="86">
      <c r="E1797" s="53" t="inlineStr">
        <is>
          <t>ND</t>
        </is>
      </c>
      <c r="F1797" s="53" t="inlineStr">
        <is>
          <t>RANSOM</t>
        </is>
      </c>
      <c r="G1797" s="59" t="n"/>
      <c r="N1797" s="59" t="n"/>
      <c r="O1797" s="59" t="n"/>
      <c r="X1797" s="61" t="n"/>
      <c r="Y1797" s="61" t="n"/>
    </row>
    <row r="1798" ht="14.25" customHeight="1" s="86">
      <c r="E1798" s="53" t="inlineStr">
        <is>
          <t>ND</t>
        </is>
      </c>
      <c r="F1798" s="53" t="inlineStr">
        <is>
          <t>RENVILLE</t>
        </is>
      </c>
      <c r="G1798" s="59" t="n"/>
      <c r="N1798" s="59" t="n"/>
      <c r="O1798" s="59" t="n"/>
      <c r="X1798" s="61" t="n"/>
      <c r="Y1798" s="61" t="n"/>
    </row>
    <row r="1799" ht="14.25" customHeight="1" s="86">
      <c r="E1799" s="53" t="inlineStr">
        <is>
          <t>ND</t>
        </is>
      </c>
      <c r="F1799" s="53" t="inlineStr">
        <is>
          <t>RICHLAND</t>
        </is>
      </c>
      <c r="G1799" s="59" t="n"/>
      <c r="N1799" s="59" t="n"/>
      <c r="O1799" s="59" t="n"/>
      <c r="X1799" s="61" t="n"/>
      <c r="Y1799" s="61" t="n"/>
    </row>
    <row r="1800" ht="14.25" customHeight="1" s="86">
      <c r="E1800" s="53" t="inlineStr">
        <is>
          <t>ND</t>
        </is>
      </c>
      <c r="F1800" s="53" t="inlineStr">
        <is>
          <t>ROLETTE</t>
        </is>
      </c>
      <c r="G1800" s="59" t="n"/>
      <c r="N1800" s="59" t="n"/>
      <c r="O1800" s="59" t="n"/>
      <c r="X1800" s="61" t="n"/>
      <c r="Y1800" s="61" t="n"/>
    </row>
    <row r="1801" ht="14.25" customHeight="1" s="86">
      <c r="E1801" s="53" t="inlineStr">
        <is>
          <t>ND</t>
        </is>
      </c>
      <c r="F1801" s="53" t="inlineStr">
        <is>
          <t>SARGENT</t>
        </is>
      </c>
      <c r="G1801" s="59" t="n"/>
      <c r="N1801" s="59" t="n"/>
      <c r="O1801" s="59" t="n"/>
      <c r="X1801" s="61" t="n"/>
      <c r="Y1801" s="61" t="n"/>
    </row>
    <row r="1802" ht="14.25" customHeight="1" s="86">
      <c r="E1802" s="53" t="inlineStr">
        <is>
          <t>ND</t>
        </is>
      </c>
      <c r="F1802" s="53" t="inlineStr">
        <is>
          <t>SHERIDAN</t>
        </is>
      </c>
      <c r="G1802" s="59" t="n"/>
      <c r="N1802" s="59" t="n"/>
      <c r="O1802" s="59" t="n"/>
      <c r="X1802" s="61" t="n"/>
      <c r="Y1802" s="61" t="n"/>
    </row>
    <row r="1803" ht="14.25" customHeight="1" s="86">
      <c r="E1803" s="53" t="inlineStr">
        <is>
          <t>ND</t>
        </is>
      </c>
      <c r="F1803" s="53" t="inlineStr">
        <is>
          <t>SIOUX</t>
        </is>
      </c>
      <c r="G1803" s="59" t="n"/>
      <c r="N1803" s="59" t="n"/>
      <c r="O1803" s="59" t="n"/>
      <c r="X1803" s="61" t="n"/>
      <c r="Y1803" s="61" t="n"/>
    </row>
    <row r="1804" ht="14.25" customHeight="1" s="86">
      <c r="E1804" s="53" t="inlineStr">
        <is>
          <t>ND</t>
        </is>
      </c>
      <c r="F1804" s="53" t="inlineStr">
        <is>
          <t>SLOPE</t>
        </is>
      </c>
      <c r="G1804" s="59" t="n"/>
      <c r="N1804" s="59" t="n"/>
      <c r="O1804" s="59" t="n"/>
      <c r="X1804" s="61" t="n"/>
      <c r="Y1804" s="61" t="n"/>
    </row>
    <row r="1805" ht="14.25" customHeight="1" s="86">
      <c r="E1805" s="53" t="inlineStr">
        <is>
          <t>ND</t>
        </is>
      </c>
      <c r="F1805" s="53" t="inlineStr">
        <is>
          <t>STARK</t>
        </is>
      </c>
      <c r="G1805" s="59" t="n"/>
      <c r="N1805" s="59" t="n"/>
      <c r="O1805" s="59" t="n"/>
      <c r="X1805" s="61" t="n"/>
      <c r="Y1805" s="61" t="n"/>
    </row>
    <row r="1806" ht="14.25" customHeight="1" s="86">
      <c r="E1806" s="53" t="inlineStr">
        <is>
          <t>ND</t>
        </is>
      </c>
      <c r="F1806" s="53" t="inlineStr">
        <is>
          <t>STEELE</t>
        </is>
      </c>
      <c r="G1806" s="59" t="n"/>
      <c r="N1806" s="59" t="n"/>
      <c r="O1806" s="59" t="n"/>
      <c r="X1806" s="61" t="n"/>
      <c r="Y1806" s="61" t="n"/>
    </row>
    <row r="1807" ht="14.25" customHeight="1" s="86">
      <c r="E1807" s="53" t="inlineStr">
        <is>
          <t>ND</t>
        </is>
      </c>
      <c r="F1807" s="53" t="inlineStr">
        <is>
          <t>STUTSMAN</t>
        </is>
      </c>
      <c r="G1807" s="59" t="n"/>
      <c r="N1807" s="59" t="n"/>
      <c r="O1807" s="59" t="n"/>
      <c r="X1807" s="61" t="n"/>
      <c r="Y1807" s="61" t="n"/>
    </row>
    <row r="1808" ht="14.25" customHeight="1" s="86">
      <c r="E1808" s="53" t="inlineStr">
        <is>
          <t>ND</t>
        </is>
      </c>
      <c r="F1808" s="53" t="inlineStr">
        <is>
          <t>TOWNER</t>
        </is>
      </c>
      <c r="G1808" s="59" t="n"/>
      <c r="N1808" s="59" t="n"/>
      <c r="O1808" s="59" t="n"/>
      <c r="X1808" s="61" t="n"/>
      <c r="Y1808" s="61" t="n"/>
    </row>
    <row r="1809" ht="14.25" customHeight="1" s="86">
      <c r="E1809" s="53" t="inlineStr">
        <is>
          <t>ND</t>
        </is>
      </c>
      <c r="F1809" s="53" t="inlineStr">
        <is>
          <t>TRAILL</t>
        </is>
      </c>
      <c r="G1809" s="59" t="n"/>
      <c r="N1809" s="59" t="n"/>
      <c r="O1809" s="59" t="n"/>
      <c r="X1809" s="61" t="n"/>
      <c r="Y1809" s="61" t="n"/>
    </row>
    <row r="1810" ht="14.25" customHeight="1" s="86">
      <c r="E1810" s="53" t="inlineStr">
        <is>
          <t>ND</t>
        </is>
      </c>
      <c r="F1810" s="53" t="inlineStr">
        <is>
          <t>WALSH</t>
        </is>
      </c>
      <c r="G1810" s="59" t="n"/>
      <c r="N1810" s="59" t="n"/>
      <c r="O1810" s="59" t="n"/>
      <c r="X1810" s="61" t="n"/>
      <c r="Y1810" s="61" t="n"/>
    </row>
    <row r="1811" ht="14.25" customHeight="1" s="86">
      <c r="E1811" s="53" t="inlineStr">
        <is>
          <t>ND</t>
        </is>
      </c>
      <c r="F1811" s="53" t="inlineStr">
        <is>
          <t>WARD</t>
        </is>
      </c>
      <c r="G1811" s="59" t="n"/>
      <c r="N1811" s="59" t="n"/>
      <c r="O1811" s="59" t="n"/>
      <c r="X1811" s="61" t="n"/>
      <c r="Y1811" s="61" t="n"/>
    </row>
    <row r="1812" ht="14.25" customHeight="1" s="86">
      <c r="E1812" s="53" t="inlineStr">
        <is>
          <t>ND</t>
        </is>
      </c>
      <c r="F1812" s="53" t="inlineStr">
        <is>
          <t>WELLS</t>
        </is>
      </c>
      <c r="G1812" s="59" t="n"/>
      <c r="N1812" s="59" t="n"/>
      <c r="O1812" s="59" t="n"/>
      <c r="X1812" s="61" t="n"/>
      <c r="Y1812" s="61" t="n"/>
    </row>
    <row r="1813" ht="14.25" customHeight="1" s="86">
      <c r="E1813" s="53" t="inlineStr">
        <is>
          <t>ND</t>
        </is>
      </c>
      <c r="F1813" s="53" t="inlineStr">
        <is>
          <t>WILLIAMS</t>
        </is>
      </c>
      <c r="G1813" s="59" t="n"/>
      <c r="N1813" s="59" t="n"/>
      <c r="O1813" s="59" t="n"/>
      <c r="X1813" s="61" t="n"/>
      <c r="Y1813" s="61" t="n"/>
    </row>
    <row r="1814" ht="14.25" customHeight="1" s="86">
      <c r="E1814" s="53" t="inlineStr">
        <is>
          <t>NE</t>
        </is>
      </c>
      <c r="F1814" s="53" t="inlineStr">
        <is>
          <t>ADAMS</t>
        </is>
      </c>
      <c r="G1814" s="59" t="n"/>
      <c r="N1814" s="59" t="n"/>
      <c r="O1814" s="59" t="n"/>
      <c r="X1814" s="61" t="n"/>
      <c r="Y1814" s="61" t="n"/>
    </row>
    <row r="1815" ht="14.25" customHeight="1" s="86">
      <c r="E1815" s="53" t="inlineStr">
        <is>
          <t>NE</t>
        </is>
      </c>
      <c r="F1815" s="53" t="inlineStr">
        <is>
          <t>ANTELOPE</t>
        </is>
      </c>
      <c r="G1815" s="59" t="n"/>
      <c r="N1815" s="59" t="n"/>
      <c r="O1815" s="59" t="n"/>
      <c r="X1815" s="61" t="n"/>
      <c r="Y1815" s="61" t="n"/>
    </row>
    <row r="1816" ht="14.25" customHeight="1" s="86">
      <c r="E1816" s="53" t="inlineStr">
        <is>
          <t>NE</t>
        </is>
      </c>
      <c r="F1816" s="53" t="inlineStr">
        <is>
          <t>ARTHUR</t>
        </is>
      </c>
      <c r="G1816" s="59" t="n"/>
      <c r="N1816" s="59" t="n"/>
      <c r="O1816" s="59" t="n"/>
      <c r="X1816" s="61" t="n"/>
      <c r="Y1816" s="61" t="n"/>
    </row>
    <row r="1817" ht="14.25" customHeight="1" s="86">
      <c r="E1817" s="53" t="inlineStr">
        <is>
          <t>NE</t>
        </is>
      </c>
      <c r="F1817" s="53" t="inlineStr">
        <is>
          <t>BANNER</t>
        </is>
      </c>
      <c r="G1817" s="59" t="n"/>
      <c r="N1817" s="59" t="n"/>
      <c r="O1817" s="59" t="n"/>
      <c r="X1817" s="61" t="n"/>
      <c r="Y1817" s="61" t="n"/>
    </row>
    <row r="1818" ht="14.25" customHeight="1" s="86">
      <c r="E1818" s="53" t="inlineStr">
        <is>
          <t>NE</t>
        </is>
      </c>
      <c r="F1818" s="53" t="inlineStr">
        <is>
          <t>BLAINE</t>
        </is>
      </c>
      <c r="G1818" s="59" t="n"/>
      <c r="N1818" s="59" t="n"/>
      <c r="O1818" s="59" t="n"/>
      <c r="X1818" s="61" t="n"/>
      <c r="Y1818" s="61" t="n"/>
    </row>
    <row r="1819" ht="14.25" customHeight="1" s="86">
      <c r="E1819" s="53" t="inlineStr">
        <is>
          <t>NE</t>
        </is>
      </c>
      <c r="F1819" s="53" t="inlineStr">
        <is>
          <t>BOONE</t>
        </is>
      </c>
      <c r="G1819" s="59" t="n"/>
      <c r="N1819" s="59" t="n"/>
      <c r="O1819" s="59" t="n"/>
      <c r="X1819" s="61" t="n"/>
      <c r="Y1819" s="61" t="n"/>
    </row>
    <row r="1820" ht="14.25" customHeight="1" s="86">
      <c r="E1820" s="53" t="inlineStr">
        <is>
          <t>NE</t>
        </is>
      </c>
      <c r="F1820" s="53" t="inlineStr">
        <is>
          <t>BOX BUTTE</t>
        </is>
      </c>
      <c r="G1820" s="59" t="n"/>
      <c r="N1820" s="59" t="n"/>
      <c r="O1820" s="59" t="n"/>
      <c r="X1820" s="61" t="n"/>
      <c r="Y1820" s="61" t="n"/>
    </row>
    <row r="1821" ht="14.25" customHeight="1" s="86">
      <c r="E1821" s="53" t="inlineStr">
        <is>
          <t>NE</t>
        </is>
      </c>
      <c r="F1821" s="53" t="inlineStr">
        <is>
          <t>BOYD</t>
        </is>
      </c>
      <c r="G1821" s="59" t="n"/>
      <c r="N1821" s="59" t="n"/>
      <c r="O1821" s="59" t="n"/>
      <c r="X1821" s="61" t="n"/>
      <c r="Y1821" s="61" t="n"/>
    </row>
    <row r="1822" ht="14.25" customHeight="1" s="86">
      <c r="E1822" s="53" t="inlineStr">
        <is>
          <t>NE</t>
        </is>
      </c>
      <c r="F1822" s="53" t="inlineStr">
        <is>
          <t>BROWN</t>
        </is>
      </c>
      <c r="G1822" s="59" t="n"/>
      <c r="N1822" s="59" t="n"/>
      <c r="O1822" s="59" t="n"/>
      <c r="X1822" s="61" t="n"/>
      <c r="Y1822" s="61" t="n"/>
    </row>
    <row r="1823" ht="14.25" customHeight="1" s="86">
      <c r="E1823" s="53" t="inlineStr">
        <is>
          <t>NE</t>
        </is>
      </c>
      <c r="F1823" s="53" t="inlineStr">
        <is>
          <t>BUFFALO</t>
        </is>
      </c>
      <c r="G1823" s="59" t="n"/>
      <c r="N1823" s="59" t="n"/>
      <c r="O1823" s="59" t="n"/>
      <c r="X1823" s="61" t="n"/>
      <c r="Y1823" s="61" t="n"/>
    </row>
    <row r="1824" ht="14.25" customHeight="1" s="86">
      <c r="E1824" s="53" t="inlineStr">
        <is>
          <t>NE</t>
        </is>
      </c>
      <c r="F1824" s="53" t="inlineStr">
        <is>
          <t>BURT</t>
        </is>
      </c>
      <c r="G1824" s="59" t="n"/>
      <c r="N1824" s="59" t="n"/>
      <c r="O1824" s="59" t="n"/>
      <c r="X1824" s="61" t="n"/>
      <c r="Y1824" s="61" t="n"/>
    </row>
    <row r="1825" ht="14.25" customHeight="1" s="86">
      <c r="E1825" s="53" t="inlineStr">
        <is>
          <t>NE</t>
        </is>
      </c>
      <c r="F1825" s="53" t="inlineStr">
        <is>
          <t>BUTLER</t>
        </is>
      </c>
      <c r="G1825" s="59" t="n"/>
      <c r="N1825" s="59" t="n"/>
      <c r="O1825" s="59" t="n"/>
      <c r="X1825" s="61" t="n"/>
      <c r="Y1825" s="61" t="n"/>
    </row>
    <row r="1826" ht="14.25" customHeight="1" s="86">
      <c r="E1826" s="53" t="inlineStr">
        <is>
          <t>NE</t>
        </is>
      </c>
      <c r="F1826" s="53" t="inlineStr">
        <is>
          <t>CASS</t>
        </is>
      </c>
      <c r="G1826" s="59" t="n"/>
      <c r="N1826" s="59" t="n"/>
      <c r="O1826" s="59" t="n"/>
      <c r="X1826" s="61" t="n"/>
      <c r="Y1826" s="61" t="n"/>
    </row>
    <row r="1827" ht="14.25" customHeight="1" s="86">
      <c r="E1827" s="53" t="inlineStr">
        <is>
          <t>NE</t>
        </is>
      </c>
      <c r="F1827" s="53" t="inlineStr">
        <is>
          <t>CEDAR</t>
        </is>
      </c>
      <c r="G1827" s="59" t="n"/>
      <c r="N1827" s="59" t="n"/>
      <c r="O1827" s="59" t="n"/>
      <c r="X1827" s="61" t="n"/>
      <c r="Y1827" s="61" t="n"/>
    </row>
    <row r="1828" ht="14.25" customHeight="1" s="86">
      <c r="E1828" s="53" t="inlineStr">
        <is>
          <t>NE</t>
        </is>
      </c>
      <c r="F1828" s="53" t="inlineStr">
        <is>
          <t>CHASE</t>
        </is>
      </c>
      <c r="G1828" s="59" t="n"/>
      <c r="N1828" s="59" t="n"/>
      <c r="O1828" s="59" t="n"/>
      <c r="X1828" s="61" t="n"/>
      <c r="Y1828" s="61" t="n"/>
    </row>
    <row r="1829" ht="14.25" customHeight="1" s="86">
      <c r="E1829" s="53" t="inlineStr">
        <is>
          <t>NE</t>
        </is>
      </c>
      <c r="F1829" s="53" t="inlineStr">
        <is>
          <t>CHERRY</t>
        </is>
      </c>
      <c r="G1829" s="59" t="n"/>
      <c r="N1829" s="59" t="n"/>
      <c r="O1829" s="59" t="n"/>
      <c r="X1829" s="61" t="n"/>
      <c r="Y1829" s="61" t="n"/>
    </row>
    <row r="1830" ht="14.25" customHeight="1" s="86">
      <c r="E1830" s="53" t="inlineStr">
        <is>
          <t>NE</t>
        </is>
      </c>
      <c r="F1830" s="53" t="inlineStr">
        <is>
          <t>CHEYENNE</t>
        </is>
      </c>
      <c r="G1830" s="59" t="n"/>
      <c r="N1830" s="59" t="n"/>
      <c r="O1830" s="59" t="n"/>
      <c r="X1830" s="61" t="n"/>
      <c r="Y1830" s="61" t="n"/>
    </row>
    <row r="1831" ht="14.25" customHeight="1" s="86">
      <c r="E1831" s="53" t="inlineStr">
        <is>
          <t>NE</t>
        </is>
      </c>
      <c r="F1831" s="53" t="inlineStr">
        <is>
          <t>CLAY</t>
        </is>
      </c>
      <c r="G1831" s="59" t="n"/>
      <c r="N1831" s="59" t="n"/>
      <c r="O1831" s="59" t="n"/>
      <c r="X1831" s="61" t="n"/>
      <c r="Y1831" s="61" t="n"/>
    </row>
    <row r="1832" ht="14.25" customHeight="1" s="86">
      <c r="E1832" s="53" t="inlineStr">
        <is>
          <t>NE</t>
        </is>
      </c>
      <c r="F1832" s="53" t="inlineStr">
        <is>
          <t>COLFAX</t>
        </is>
      </c>
      <c r="G1832" s="59" t="n"/>
      <c r="N1832" s="59" t="n"/>
      <c r="O1832" s="59" t="n"/>
      <c r="X1832" s="61" t="n"/>
      <c r="Y1832" s="61" t="n"/>
    </row>
    <row r="1833" ht="14.25" customHeight="1" s="86">
      <c r="E1833" s="53" t="inlineStr">
        <is>
          <t>NE</t>
        </is>
      </c>
      <c r="F1833" s="53" t="inlineStr">
        <is>
          <t>CUMING</t>
        </is>
      </c>
      <c r="G1833" s="59" t="n"/>
      <c r="N1833" s="59" t="n"/>
      <c r="O1833" s="59" t="n"/>
      <c r="X1833" s="61" t="n"/>
      <c r="Y1833" s="61" t="n"/>
    </row>
    <row r="1834" ht="14.25" customHeight="1" s="86">
      <c r="E1834" s="53" t="inlineStr">
        <is>
          <t>NE</t>
        </is>
      </c>
      <c r="F1834" s="53" t="inlineStr">
        <is>
          <t>CUSTER</t>
        </is>
      </c>
      <c r="G1834" s="59" t="n"/>
      <c r="N1834" s="59" t="n"/>
      <c r="O1834" s="59" t="n"/>
      <c r="X1834" s="61" t="n"/>
      <c r="Y1834" s="61" t="n"/>
    </row>
    <row r="1835" ht="14.25" customHeight="1" s="86">
      <c r="E1835" s="53" t="inlineStr">
        <is>
          <t>NE</t>
        </is>
      </c>
      <c r="F1835" s="53" t="inlineStr">
        <is>
          <t>DAKOTA</t>
        </is>
      </c>
      <c r="G1835" s="59" t="n"/>
      <c r="N1835" s="59" t="n"/>
      <c r="O1835" s="59" t="n"/>
      <c r="X1835" s="61" t="n"/>
      <c r="Y1835" s="61" t="n"/>
    </row>
    <row r="1836" ht="14.25" customHeight="1" s="86">
      <c r="E1836" s="53" t="inlineStr">
        <is>
          <t>NE</t>
        </is>
      </c>
      <c r="F1836" s="53" t="inlineStr">
        <is>
          <t>DAWES</t>
        </is>
      </c>
      <c r="G1836" s="59" t="n"/>
      <c r="N1836" s="59" t="n"/>
      <c r="O1836" s="59" t="n"/>
      <c r="X1836" s="61" t="n"/>
      <c r="Y1836" s="61" t="n"/>
    </row>
    <row r="1837" ht="14.25" customHeight="1" s="86">
      <c r="E1837" s="53" t="inlineStr">
        <is>
          <t>NE</t>
        </is>
      </c>
      <c r="F1837" s="53" t="inlineStr">
        <is>
          <t>DAWSON</t>
        </is>
      </c>
      <c r="G1837" s="59" t="n"/>
      <c r="N1837" s="59" t="n"/>
      <c r="O1837" s="59" t="n"/>
      <c r="X1837" s="61" t="n"/>
      <c r="Y1837" s="61" t="n"/>
    </row>
    <row r="1838" ht="14.25" customHeight="1" s="86">
      <c r="E1838" s="53" t="inlineStr">
        <is>
          <t>NE</t>
        </is>
      </c>
      <c r="F1838" s="53" t="inlineStr">
        <is>
          <t>DEUEL</t>
        </is>
      </c>
      <c r="G1838" s="59" t="n"/>
      <c r="N1838" s="59" t="n"/>
      <c r="O1838" s="59" t="n"/>
      <c r="X1838" s="61" t="n"/>
      <c r="Y1838" s="61" t="n"/>
    </row>
    <row r="1839" ht="14.25" customHeight="1" s="86">
      <c r="E1839" s="53" t="inlineStr">
        <is>
          <t>NE</t>
        </is>
      </c>
      <c r="F1839" s="53" t="inlineStr">
        <is>
          <t>DIXON</t>
        </is>
      </c>
      <c r="G1839" s="59" t="n"/>
      <c r="N1839" s="59" t="n"/>
      <c r="O1839" s="59" t="n"/>
      <c r="X1839" s="61" t="n"/>
      <c r="Y1839" s="61" t="n"/>
    </row>
    <row r="1840" ht="14.25" customHeight="1" s="86">
      <c r="E1840" s="53" t="inlineStr">
        <is>
          <t>NE</t>
        </is>
      </c>
      <c r="F1840" s="53" t="inlineStr">
        <is>
          <t>DODGE</t>
        </is>
      </c>
      <c r="G1840" s="59" t="n"/>
      <c r="N1840" s="59" t="n"/>
      <c r="O1840" s="59" t="n"/>
      <c r="X1840" s="61" t="n"/>
      <c r="Y1840" s="61" t="n"/>
    </row>
    <row r="1841" ht="14.25" customHeight="1" s="86">
      <c r="E1841" s="53" t="inlineStr">
        <is>
          <t>NE</t>
        </is>
      </c>
      <c r="F1841" s="53" t="inlineStr">
        <is>
          <t>DOUGLAS</t>
        </is>
      </c>
      <c r="G1841" s="59" t="n"/>
      <c r="N1841" s="59" t="n"/>
      <c r="O1841" s="59" t="n"/>
      <c r="X1841" s="61" t="n"/>
      <c r="Y1841" s="61" t="n"/>
    </row>
    <row r="1842" ht="14.25" customHeight="1" s="86">
      <c r="E1842" s="53" t="inlineStr">
        <is>
          <t>NE</t>
        </is>
      </c>
      <c r="F1842" s="53" t="inlineStr">
        <is>
          <t>DUNDY</t>
        </is>
      </c>
      <c r="G1842" s="59" t="n"/>
      <c r="N1842" s="59" t="n"/>
      <c r="O1842" s="59" t="n"/>
      <c r="X1842" s="61" t="n"/>
      <c r="Y1842" s="61" t="n"/>
    </row>
    <row r="1843" ht="14.25" customHeight="1" s="86">
      <c r="E1843" s="53" t="inlineStr">
        <is>
          <t>NE</t>
        </is>
      </c>
      <c r="F1843" s="53" t="inlineStr">
        <is>
          <t>FILLMORE</t>
        </is>
      </c>
      <c r="G1843" s="59" t="n"/>
      <c r="N1843" s="59" t="n"/>
      <c r="O1843" s="59" t="n"/>
      <c r="X1843" s="61" t="n"/>
      <c r="Y1843" s="61" t="n"/>
    </row>
    <row r="1844" ht="14.25" customHeight="1" s="86">
      <c r="E1844" s="53" t="inlineStr">
        <is>
          <t>NE</t>
        </is>
      </c>
      <c r="F1844" s="53" t="inlineStr">
        <is>
          <t>FRANKLIN</t>
        </is>
      </c>
      <c r="G1844" s="59" t="n"/>
      <c r="N1844" s="59" t="n"/>
      <c r="O1844" s="59" t="n"/>
      <c r="X1844" s="61" t="n"/>
      <c r="Y1844" s="61" t="n"/>
    </row>
    <row r="1845" ht="14.25" customHeight="1" s="86">
      <c r="E1845" s="53" t="inlineStr">
        <is>
          <t>NE</t>
        </is>
      </c>
      <c r="F1845" s="53" t="inlineStr">
        <is>
          <t>FRONTIER</t>
        </is>
      </c>
      <c r="G1845" s="59" t="n"/>
      <c r="N1845" s="59" t="n"/>
      <c r="O1845" s="59" t="n"/>
      <c r="X1845" s="61" t="n"/>
      <c r="Y1845" s="61" t="n"/>
    </row>
    <row r="1846" ht="14.25" customHeight="1" s="86">
      <c r="E1846" s="53" t="inlineStr">
        <is>
          <t>NE</t>
        </is>
      </c>
      <c r="F1846" s="53" t="inlineStr">
        <is>
          <t>FURNAS</t>
        </is>
      </c>
      <c r="G1846" s="59" t="n"/>
      <c r="N1846" s="59" t="n"/>
      <c r="O1846" s="59" t="n"/>
      <c r="X1846" s="61" t="n"/>
      <c r="Y1846" s="61" t="n"/>
    </row>
    <row r="1847" ht="14.25" customHeight="1" s="86">
      <c r="E1847" s="53" t="inlineStr">
        <is>
          <t>NE</t>
        </is>
      </c>
      <c r="F1847" s="53" t="inlineStr">
        <is>
          <t>GAGE</t>
        </is>
      </c>
      <c r="G1847" s="59" t="n"/>
      <c r="N1847" s="59" t="n"/>
      <c r="O1847" s="59" t="n"/>
      <c r="X1847" s="61" t="n"/>
      <c r="Y1847" s="61" t="n"/>
    </row>
    <row r="1848" ht="14.25" customHeight="1" s="86">
      <c r="E1848" s="53" t="inlineStr">
        <is>
          <t>NE</t>
        </is>
      </c>
      <c r="F1848" s="53" t="inlineStr">
        <is>
          <t>GARDEN</t>
        </is>
      </c>
      <c r="G1848" s="59" t="n"/>
      <c r="N1848" s="59" t="n"/>
      <c r="O1848" s="59" t="n"/>
      <c r="X1848" s="61" t="n"/>
      <c r="Y1848" s="61" t="n"/>
    </row>
    <row r="1849" ht="14.25" customHeight="1" s="86">
      <c r="E1849" s="53" t="inlineStr">
        <is>
          <t>NE</t>
        </is>
      </c>
      <c r="F1849" s="53" t="inlineStr">
        <is>
          <t>GARFIELD</t>
        </is>
      </c>
      <c r="G1849" s="59" t="n"/>
      <c r="N1849" s="59" t="n"/>
      <c r="O1849" s="59" t="n"/>
      <c r="X1849" s="61" t="n"/>
      <c r="Y1849" s="61" t="n"/>
    </row>
    <row r="1850" ht="14.25" customHeight="1" s="86">
      <c r="E1850" s="53" t="inlineStr">
        <is>
          <t>NE</t>
        </is>
      </c>
      <c r="F1850" s="53" t="inlineStr">
        <is>
          <t>GOSPER</t>
        </is>
      </c>
      <c r="G1850" s="59" t="n"/>
      <c r="N1850" s="59" t="n"/>
      <c r="O1850" s="59" t="n"/>
      <c r="X1850" s="61" t="n"/>
      <c r="Y1850" s="61" t="n"/>
    </row>
    <row r="1851" ht="14.25" customHeight="1" s="86">
      <c r="E1851" s="53" t="inlineStr">
        <is>
          <t>NE</t>
        </is>
      </c>
      <c r="F1851" s="53" t="inlineStr">
        <is>
          <t>GRANT</t>
        </is>
      </c>
      <c r="G1851" s="59" t="n"/>
      <c r="X1851" s="61" t="n"/>
      <c r="Y1851" s="61" t="n"/>
    </row>
    <row r="1852" ht="14.25" customHeight="1" s="86">
      <c r="E1852" s="53" t="inlineStr">
        <is>
          <t>NE</t>
        </is>
      </c>
      <c r="F1852" s="53" t="inlineStr">
        <is>
          <t>GREELEY</t>
        </is>
      </c>
      <c r="G1852" s="59" t="n"/>
      <c r="X1852" s="61" t="n"/>
      <c r="Y1852" s="61" t="n"/>
    </row>
    <row r="1853" ht="14.25" customHeight="1" s="86">
      <c r="E1853" s="53" t="inlineStr">
        <is>
          <t>NE</t>
        </is>
      </c>
      <c r="F1853" s="53" t="inlineStr">
        <is>
          <t>HALL</t>
        </is>
      </c>
      <c r="G1853" s="59" t="n"/>
      <c r="X1853" s="61" t="n"/>
      <c r="Y1853" s="61" t="n"/>
    </row>
    <row r="1854" ht="14.25" customHeight="1" s="86">
      <c r="E1854" s="53" t="inlineStr">
        <is>
          <t>NE</t>
        </is>
      </c>
      <c r="F1854" s="53" t="inlineStr">
        <is>
          <t>HAMILTON</t>
        </is>
      </c>
      <c r="G1854" s="59" t="n"/>
      <c r="X1854" s="61" t="n"/>
      <c r="Y1854" s="61" t="n"/>
    </row>
    <row r="1855" ht="14.25" customHeight="1" s="86">
      <c r="E1855" s="53" t="inlineStr">
        <is>
          <t>NE</t>
        </is>
      </c>
      <c r="F1855" s="53" t="inlineStr">
        <is>
          <t>HARLAN</t>
        </is>
      </c>
      <c r="G1855" s="59" t="n"/>
      <c r="X1855" s="61" t="n"/>
      <c r="Y1855" s="61" t="n"/>
    </row>
    <row r="1856" ht="14.25" customHeight="1" s="86">
      <c r="E1856" s="53" t="inlineStr">
        <is>
          <t>NE</t>
        </is>
      </c>
      <c r="F1856" s="53" t="inlineStr">
        <is>
          <t>HAYES</t>
        </is>
      </c>
      <c r="G1856" s="59" t="n"/>
      <c r="X1856" s="61" t="n"/>
      <c r="Y1856" s="61" t="n"/>
    </row>
    <row r="1857" ht="14.25" customHeight="1" s="86">
      <c r="E1857" s="53" t="inlineStr">
        <is>
          <t>NE</t>
        </is>
      </c>
      <c r="F1857" s="53" t="inlineStr">
        <is>
          <t>HITCHCOCK</t>
        </is>
      </c>
      <c r="G1857" s="59" t="n"/>
      <c r="X1857" s="61" t="n"/>
      <c r="Y1857" s="61" t="n"/>
    </row>
    <row r="1858" ht="14.25" customHeight="1" s="86">
      <c r="E1858" s="53" t="inlineStr">
        <is>
          <t>NE</t>
        </is>
      </c>
      <c r="F1858" s="53" t="inlineStr">
        <is>
          <t>HOLT</t>
        </is>
      </c>
      <c r="G1858" s="59" t="n"/>
      <c r="X1858" s="61" t="n"/>
      <c r="Y1858" s="61" t="n"/>
    </row>
    <row r="1859" ht="14.25" customHeight="1" s="86">
      <c r="E1859" s="53" t="inlineStr">
        <is>
          <t>NE</t>
        </is>
      </c>
      <c r="F1859" s="53" t="inlineStr">
        <is>
          <t>HOOKER</t>
        </is>
      </c>
      <c r="G1859" s="59" t="n"/>
      <c r="X1859" s="61" t="n"/>
      <c r="Y1859" s="61" t="n"/>
    </row>
    <row r="1860" ht="14.25" customHeight="1" s="86">
      <c r="E1860" s="53" t="inlineStr">
        <is>
          <t>NE</t>
        </is>
      </c>
      <c r="F1860" s="53" t="inlineStr">
        <is>
          <t>HOWARD</t>
        </is>
      </c>
      <c r="G1860" s="59" t="n"/>
      <c r="X1860" s="61" t="n"/>
      <c r="Y1860" s="61" t="n"/>
    </row>
    <row r="1861" ht="14.25" customHeight="1" s="86">
      <c r="E1861" s="53" t="inlineStr">
        <is>
          <t>NE</t>
        </is>
      </c>
      <c r="F1861" s="53" t="inlineStr">
        <is>
          <t>JEFFERSON</t>
        </is>
      </c>
      <c r="G1861" s="59" t="n"/>
      <c r="X1861" s="61" t="n"/>
      <c r="Y1861" s="61" t="n"/>
    </row>
    <row r="1862" ht="14.25" customHeight="1" s="86">
      <c r="E1862" s="53" t="inlineStr">
        <is>
          <t>NE</t>
        </is>
      </c>
      <c r="F1862" s="53" t="inlineStr">
        <is>
          <t>JOHNSON</t>
        </is>
      </c>
      <c r="G1862" s="59" t="n"/>
      <c r="X1862" s="61" t="n"/>
      <c r="Y1862" s="61" t="n"/>
    </row>
    <row r="1863" ht="14.25" customHeight="1" s="86">
      <c r="E1863" s="53" t="inlineStr">
        <is>
          <t>NE</t>
        </is>
      </c>
      <c r="F1863" s="53" t="inlineStr">
        <is>
          <t>KEARNEY</t>
        </is>
      </c>
      <c r="G1863" s="59" t="n"/>
      <c r="X1863" s="61" t="n"/>
      <c r="Y1863" s="61" t="n"/>
    </row>
    <row r="1864" ht="14.25" customHeight="1" s="86">
      <c r="E1864" s="53" t="inlineStr">
        <is>
          <t>NE</t>
        </is>
      </c>
      <c r="F1864" s="53" t="inlineStr">
        <is>
          <t>KEITH</t>
        </is>
      </c>
      <c r="G1864" s="59" t="n"/>
      <c r="X1864" s="61" t="n"/>
      <c r="Y1864" s="61" t="n"/>
    </row>
    <row r="1865" ht="14.25" customHeight="1" s="86">
      <c r="E1865" s="53" t="inlineStr">
        <is>
          <t>NE</t>
        </is>
      </c>
      <c r="F1865" s="53" t="inlineStr">
        <is>
          <t>KEYA PAHA</t>
        </is>
      </c>
      <c r="G1865" s="59" t="n"/>
      <c r="X1865" s="61" t="n"/>
      <c r="Y1865" s="61" t="n"/>
    </row>
    <row r="1866" ht="14.25" customHeight="1" s="86">
      <c r="E1866" s="53" t="inlineStr">
        <is>
          <t>NE</t>
        </is>
      </c>
      <c r="F1866" s="53" t="inlineStr">
        <is>
          <t>KIMBALL</t>
        </is>
      </c>
      <c r="G1866" s="59" t="n"/>
      <c r="X1866" s="61" t="n"/>
      <c r="Y1866" s="61" t="n"/>
    </row>
    <row r="1867" ht="14.25" customHeight="1" s="86">
      <c r="E1867" s="53" t="inlineStr">
        <is>
          <t>NE</t>
        </is>
      </c>
      <c r="F1867" s="53" t="inlineStr">
        <is>
          <t>KNOX</t>
        </is>
      </c>
      <c r="G1867" s="59" t="n"/>
      <c r="X1867" s="61" t="n"/>
      <c r="Y1867" s="61" t="n"/>
    </row>
    <row r="1868" ht="14.25" customHeight="1" s="86">
      <c r="E1868" s="53" t="inlineStr">
        <is>
          <t>NE</t>
        </is>
      </c>
      <c r="F1868" s="53" t="inlineStr">
        <is>
          <t>LANCASTER</t>
        </is>
      </c>
      <c r="G1868" s="59" t="n"/>
      <c r="X1868" s="61" t="n"/>
      <c r="Y1868" s="61" t="n"/>
    </row>
    <row r="1869" ht="14.25" customHeight="1" s="86">
      <c r="E1869" s="53" t="inlineStr">
        <is>
          <t>NE</t>
        </is>
      </c>
      <c r="F1869" s="53" t="inlineStr">
        <is>
          <t>LINCOLN</t>
        </is>
      </c>
      <c r="G1869" s="59" t="n"/>
      <c r="X1869" s="61" t="n"/>
      <c r="Y1869" s="61" t="n"/>
    </row>
    <row r="1870" ht="14.25" customHeight="1" s="86">
      <c r="E1870" s="53" t="inlineStr">
        <is>
          <t>NE</t>
        </is>
      </c>
      <c r="F1870" s="53" t="inlineStr">
        <is>
          <t>LOGAN</t>
        </is>
      </c>
      <c r="G1870" s="59" t="n"/>
      <c r="X1870" s="61" t="n"/>
      <c r="Y1870" s="61" t="n"/>
    </row>
    <row r="1871" ht="14.25" customHeight="1" s="86">
      <c r="E1871" s="53" t="inlineStr">
        <is>
          <t>NE</t>
        </is>
      </c>
      <c r="F1871" s="53" t="inlineStr">
        <is>
          <t>LOUP</t>
        </is>
      </c>
      <c r="G1871" s="59" t="n"/>
      <c r="X1871" s="61" t="n"/>
      <c r="Y1871" s="61" t="n"/>
    </row>
    <row r="1872" ht="14.25" customHeight="1" s="86">
      <c r="E1872" s="53" t="inlineStr">
        <is>
          <t>NE</t>
        </is>
      </c>
      <c r="F1872" s="53" t="inlineStr">
        <is>
          <t>MADISON</t>
        </is>
      </c>
      <c r="G1872" s="59" t="n"/>
      <c r="X1872" s="61" t="n"/>
      <c r="Y1872" s="61" t="n"/>
    </row>
    <row r="1873" ht="14.25" customHeight="1" s="86">
      <c r="E1873" s="53" t="inlineStr">
        <is>
          <t>NE</t>
        </is>
      </c>
      <c r="F1873" s="53" t="inlineStr">
        <is>
          <t>MCPHERSON</t>
        </is>
      </c>
      <c r="G1873" s="59" t="n"/>
      <c r="X1873" s="61" t="n"/>
      <c r="Y1873" s="61" t="n"/>
    </row>
    <row r="1874" ht="14.25" customHeight="1" s="86">
      <c r="E1874" s="53" t="inlineStr">
        <is>
          <t>NE</t>
        </is>
      </c>
      <c r="F1874" s="53" t="inlineStr">
        <is>
          <t>MERRICK</t>
        </is>
      </c>
      <c r="G1874" s="59" t="n"/>
      <c r="X1874" s="61" t="n"/>
      <c r="Y1874" s="61" t="n"/>
    </row>
    <row r="1875" ht="14.25" customHeight="1" s="86">
      <c r="E1875" s="53" t="inlineStr">
        <is>
          <t>NE</t>
        </is>
      </c>
      <c r="F1875" s="53" t="inlineStr">
        <is>
          <t>MORRILL</t>
        </is>
      </c>
      <c r="G1875" s="59" t="n"/>
      <c r="X1875" s="61" t="n"/>
      <c r="Y1875" s="61" t="n"/>
    </row>
    <row r="1876" ht="14.25" customHeight="1" s="86">
      <c r="E1876" s="53" t="inlineStr">
        <is>
          <t>NE</t>
        </is>
      </c>
      <c r="F1876" s="53" t="inlineStr">
        <is>
          <t>NANCE</t>
        </is>
      </c>
      <c r="G1876" s="59" t="n"/>
      <c r="X1876" s="61" t="n"/>
      <c r="Y1876" s="61" t="n"/>
    </row>
    <row r="1877" ht="14.25" customHeight="1" s="86">
      <c r="E1877" s="53" t="inlineStr">
        <is>
          <t>NE</t>
        </is>
      </c>
      <c r="F1877" s="53" t="inlineStr">
        <is>
          <t>NEMAHA</t>
        </is>
      </c>
      <c r="G1877" s="59" t="n"/>
      <c r="X1877" s="61" t="n"/>
      <c r="Y1877" s="61" t="n"/>
    </row>
    <row r="1878" ht="14.25" customHeight="1" s="86">
      <c r="E1878" s="53" t="inlineStr">
        <is>
          <t>NE</t>
        </is>
      </c>
      <c r="F1878" s="53" t="inlineStr">
        <is>
          <t>NUCKOLLS</t>
        </is>
      </c>
      <c r="G1878" s="59" t="n"/>
      <c r="X1878" s="61" t="n"/>
      <c r="Y1878" s="61" t="n"/>
    </row>
    <row r="1879" ht="14.25" customHeight="1" s="86">
      <c r="E1879" s="53" t="inlineStr">
        <is>
          <t>NE</t>
        </is>
      </c>
      <c r="F1879" s="53" t="inlineStr">
        <is>
          <t>OTOE</t>
        </is>
      </c>
      <c r="G1879" s="59" t="n"/>
      <c r="X1879" s="61" t="n"/>
      <c r="Y1879" s="61" t="n"/>
    </row>
    <row r="1880" ht="14.25" customHeight="1" s="86">
      <c r="E1880" s="53" t="inlineStr">
        <is>
          <t>NE</t>
        </is>
      </c>
      <c r="F1880" s="53" t="inlineStr">
        <is>
          <t>PAWNEE</t>
        </is>
      </c>
      <c r="G1880" s="59" t="n"/>
      <c r="X1880" s="61" t="n"/>
      <c r="Y1880" s="61" t="n"/>
    </row>
    <row r="1881" ht="14.25" customHeight="1" s="86">
      <c r="E1881" s="53" t="inlineStr">
        <is>
          <t>NE</t>
        </is>
      </c>
      <c r="F1881" s="53" t="inlineStr">
        <is>
          <t>PERKINS</t>
        </is>
      </c>
      <c r="G1881" s="59" t="n"/>
      <c r="X1881" s="61" t="n"/>
      <c r="Y1881" s="61" t="n"/>
    </row>
    <row r="1882" ht="14.25" customHeight="1" s="86">
      <c r="E1882" s="53" t="inlineStr">
        <is>
          <t>NE</t>
        </is>
      </c>
      <c r="F1882" s="53" t="inlineStr">
        <is>
          <t>PHELPS</t>
        </is>
      </c>
      <c r="G1882" s="59" t="n"/>
      <c r="X1882" s="61" t="n"/>
      <c r="Y1882" s="61" t="n"/>
    </row>
    <row r="1883" ht="14.25" customHeight="1" s="86">
      <c r="E1883" s="53" t="inlineStr">
        <is>
          <t>NE</t>
        </is>
      </c>
      <c r="F1883" s="53" t="inlineStr">
        <is>
          <t>PIERCE</t>
        </is>
      </c>
      <c r="G1883" s="59" t="n"/>
      <c r="X1883" s="61" t="n"/>
      <c r="Y1883" s="61" t="n"/>
    </row>
    <row r="1884" ht="14.25" customHeight="1" s="86">
      <c r="E1884" s="53" t="inlineStr">
        <is>
          <t>NE</t>
        </is>
      </c>
      <c r="F1884" s="53" t="inlineStr">
        <is>
          <t>PLATTE</t>
        </is>
      </c>
      <c r="G1884" s="59" t="n"/>
      <c r="X1884" s="61" t="n"/>
      <c r="Y1884" s="61" t="n"/>
    </row>
    <row r="1885" ht="14.25" customHeight="1" s="86">
      <c r="E1885" s="53" t="inlineStr">
        <is>
          <t>NE</t>
        </is>
      </c>
      <c r="F1885" s="53" t="inlineStr">
        <is>
          <t>POLK</t>
        </is>
      </c>
      <c r="G1885" s="59" t="n"/>
      <c r="X1885" s="61" t="n"/>
      <c r="Y1885" s="61" t="n"/>
    </row>
    <row r="1886" ht="14.25" customHeight="1" s="86">
      <c r="E1886" s="53" t="inlineStr">
        <is>
          <t>NE</t>
        </is>
      </c>
      <c r="F1886" s="53" t="inlineStr">
        <is>
          <t>RED WILLOW</t>
        </is>
      </c>
      <c r="G1886" s="59" t="n"/>
      <c r="X1886" s="61" t="n"/>
      <c r="Y1886" s="61" t="n"/>
    </row>
    <row r="1887" ht="14.25" customHeight="1" s="86">
      <c r="E1887" s="53" t="inlineStr">
        <is>
          <t>NE</t>
        </is>
      </c>
      <c r="F1887" s="53" t="inlineStr">
        <is>
          <t>RICHARDSON</t>
        </is>
      </c>
      <c r="G1887" s="59" t="n"/>
      <c r="X1887" s="61" t="n"/>
      <c r="Y1887" s="61" t="n"/>
    </row>
    <row r="1888" ht="14.25" customHeight="1" s="86">
      <c r="E1888" s="53" t="inlineStr">
        <is>
          <t>NE</t>
        </is>
      </c>
      <c r="F1888" s="53" t="inlineStr">
        <is>
          <t>ROCK</t>
        </is>
      </c>
      <c r="G1888" s="59" t="n"/>
      <c r="X1888" s="61" t="n"/>
      <c r="Y1888" s="61" t="n"/>
    </row>
    <row r="1889" ht="14.25" customHeight="1" s="86">
      <c r="E1889" s="53" t="inlineStr">
        <is>
          <t>NE</t>
        </is>
      </c>
      <c r="F1889" s="53" t="inlineStr">
        <is>
          <t>SALINE</t>
        </is>
      </c>
      <c r="G1889" s="59" t="n"/>
      <c r="X1889" s="61" t="n"/>
      <c r="Y1889" s="61" t="n"/>
    </row>
    <row r="1890" ht="14.25" customHeight="1" s="86">
      <c r="E1890" s="53" t="inlineStr">
        <is>
          <t>NE</t>
        </is>
      </c>
      <c r="F1890" s="53" t="inlineStr">
        <is>
          <t>SARPY</t>
        </is>
      </c>
      <c r="G1890" s="59" t="n"/>
      <c r="X1890" s="61" t="n"/>
      <c r="Y1890" s="61" t="n"/>
    </row>
    <row r="1891" ht="14.25" customHeight="1" s="86">
      <c r="E1891" s="53" t="inlineStr">
        <is>
          <t>NE</t>
        </is>
      </c>
      <c r="F1891" s="53" t="inlineStr">
        <is>
          <t>SAUNDERS</t>
        </is>
      </c>
      <c r="G1891" s="59" t="n"/>
      <c r="X1891" s="61" t="n"/>
      <c r="Y1891" s="61" t="n"/>
    </row>
    <row r="1892" ht="14.25" customHeight="1" s="86">
      <c r="E1892" s="53" t="inlineStr">
        <is>
          <t>NE</t>
        </is>
      </c>
      <c r="F1892" s="53" t="inlineStr">
        <is>
          <t>SCOTTS BLUFF</t>
        </is>
      </c>
      <c r="G1892" s="59" t="n"/>
      <c r="X1892" s="61" t="n"/>
      <c r="Y1892" s="61" t="n"/>
    </row>
    <row r="1893" ht="14.25" customHeight="1" s="86">
      <c r="E1893" s="53" t="inlineStr">
        <is>
          <t>NE</t>
        </is>
      </c>
      <c r="F1893" s="53" t="inlineStr">
        <is>
          <t>SEWARD</t>
        </is>
      </c>
      <c r="G1893" s="59" t="n"/>
      <c r="X1893" s="61" t="n"/>
      <c r="Y1893" s="61" t="n"/>
    </row>
    <row r="1894" ht="14.25" customHeight="1" s="86">
      <c r="E1894" s="53" t="inlineStr">
        <is>
          <t>NE</t>
        </is>
      </c>
      <c r="F1894" s="53" t="inlineStr">
        <is>
          <t>SHERIDAN</t>
        </is>
      </c>
      <c r="G1894" s="59" t="n"/>
      <c r="X1894" s="61" t="n"/>
      <c r="Y1894" s="61" t="n"/>
    </row>
    <row r="1895" ht="14.25" customHeight="1" s="86">
      <c r="E1895" s="53" t="inlineStr">
        <is>
          <t>NE</t>
        </is>
      </c>
      <c r="F1895" s="53" t="inlineStr">
        <is>
          <t>SHERMAN</t>
        </is>
      </c>
      <c r="G1895" s="59" t="n"/>
      <c r="X1895" s="61" t="n"/>
      <c r="Y1895" s="61" t="n"/>
    </row>
    <row r="1896" ht="14.25" customHeight="1" s="86">
      <c r="E1896" s="53" t="inlineStr">
        <is>
          <t>NE</t>
        </is>
      </c>
      <c r="F1896" s="53" t="inlineStr">
        <is>
          <t>SIOUX</t>
        </is>
      </c>
      <c r="G1896" s="59" t="n"/>
      <c r="X1896" s="61" t="n"/>
      <c r="Y1896" s="61" t="n"/>
    </row>
    <row r="1897" ht="14.25" customHeight="1" s="86">
      <c r="E1897" s="53" t="inlineStr">
        <is>
          <t>NE</t>
        </is>
      </c>
      <c r="F1897" s="53" t="inlineStr">
        <is>
          <t>STANTON</t>
        </is>
      </c>
      <c r="G1897" s="59" t="n"/>
      <c r="X1897" s="61" t="n"/>
      <c r="Y1897" s="61" t="n"/>
    </row>
    <row r="1898" ht="14.25" customHeight="1" s="86">
      <c r="E1898" s="53" t="inlineStr">
        <is>
          <t>NE</t>
        </is>
      </c>
      <c r="F1898" s="53" t="inlineStr">
        <is>
          <t>THAYER</t>
        </is>
      </c>
      <c r="G1898" s="59" t="n"/>
      <c r="X1898" s="61" t="n"/>
      <c r="Y1898" s="61" t="n"/>
    </row>
    <row r="1899" ht="14.25" customHeight="1" s="86">
      <c r="E1899" s="53" t="inlineStr">
        <is>
          <t>NE</t>
        </is>
      </c>
      <c r="F1899" s="53" t="inlineStr">
        <is>
          <t>THOMAS</t>
        </is>
      </c>
      <c r="G1899" s="59" t="n"/>
      <c r="X1899" s="61" t="n"/>
      <c r="Y1899" s="61" t="n"/>
    </row>
    <row r="1900" ht="14.25" customHeight="1" s="86">
      <c r="E1900" s="53" t="inlineStr">
        <is>
          <t>NE</t>
        </is>
      </c>
      <c r="F1900" s="53" t="inlineStr">
        <is>
          <t>THURSTON</t>
        </is>
      </c>
      <c r="G1900" s="59" t="n"/>
      <c r="X1900" s="61" t="n"/>
      <c r="Y1900" s="61" t="n"/>
    </row>
    <row r="1901" ht="14.25" customHeight="1" s="86">
      <c r="E1901" s="53" t="inlineStr">
        <is>
          <t>NE</t>
        </is>
      </c>
      <c r="F1901" s="53" t="inlineStr">
        <is>
          <t>VALLEY</t>
        </is>
      </c>
      <c r="G1901" s="59" t="n"/>
      <c r="X1901" s="61" t="n"/>
      <c r="Y1901" s="61" t="n"/>
    </row>
    <row r="1902" ht="14.25" customHeight="1" s="86">
      <c r="E1902" s="53" t="inlineStr">
        <is>
          <t>NE</t>
        </is>
      </c>
      <c r="F1902" s="53" t="inlineStr">
        <is>
          <t>WASHINGTON</t>
        </is>
      </c>
      <c r="G1902" s="59" t="n"/>
      <c r="X1902" s="61" t="n"/>
      <c r="Y1902" s="61" t="n"/>
    </row>
    <row r="1903" ht="14.25" customHeight="1" s="86">
      <c r="E1903" s="53" t="inlineStr">
        <is>
          <t>NE</t>
        </is>
      </c>
      <c r="F1903" s="53" t="inlineStr">
        <is>
          <t>WAYNE</t>
        </is>
      </c>
      <c r="G1903" s="59" t="n"/>
      <c r="X1903" s="61" t="n"/>
      <c r="Y1903" s="61" t="n"/>
    </row>
    <row r="1904" ht="14.25" customHeight="1" s="86">
      <c r="E1904" s="53" t="inlineStr">
        <is>
          <t>NE</t>
        </is>
      </c>
      <c r="F1904" s="53" t="inlineStr">
        <is>
          <t>WEBSTER</t>
        </is>
      </c>
      <c r="G1904" s="59" t="n"/>
      <c r="X1904" s="61" t="n"/>
      <c r="Y1904" s="61" t="n"/>
    </row>
    <row r="1905" ht="14.25" customHeight="1" s="86">
      <c r="E1905" s="53" t="inlineStr">
        <is>
          <t>NE</t>
        </is>
      </c>
      <c r="F1905" s="53" t="inlineStr">
        <is>
          <t>WHEELER</t>
        </is>
      </c>
      <c r="G1905" s="59" t="n"/>
      <c r="X1905" s="61" t="n"/>
      <c r="Y1905" s="61" t="n"/>
    </row>
    <row r="1906" ht="14.25" customHeight="1" s="86">
      <c r="E1906" s="53" t="inlineStr">
        <is>
          <t>NE</t>
        </is>
      </c>
      <c r="F1906" s="53" t="inlineStr">
        <is>
          <t>YORK</t>
        </is>
      </c>
      <c r="G1906" s="59" t="n"/>
      <c r="X1906" s="61" t="n"/>
      <c r="Y1906" s="61" t="n"/>
    </row>
    <row r="1907" ht="14.25" customHeight="1" s="86">
      <c r="E1907" s="53" t="inlineStr">
        <is>
          <t>NH</t>
        </is>
      </c>
      <c r="F1907" s="53" t="inlineStr">
        <is>
          <t>BELKNAP</t>
        </is>
      </c>
      <c r="G1907" s="59" t="n"/>
      <c r="X1907" s="61" t="n"/>
      <c r="Y1907" s="61" t="n"/>
    </row>
    <row r="1908" ht="14.25" customHeight="1" s="86">
      <c r="E1908" s="53" t="inlineStr">
        <is>
          <t>NH</t>
        </is>
      </c>
      <c r="F1908" s="53" t="inlineStr">
        <is>
          <t>CARROLL</t>
        </is>
      </c>
      <c r="G1908" s="59" t="n"/>
      <c r="X1908" s="61" t="n"/>
      <c r="Y1908" s="61" t="n"/>
    </row>
    <row r="1909" ht="14.25" customHeight="1" s="86">
      <c r="E1909" s="53" t="inlineStr">
        <is>
          <t>NH</t>
        </is>
      </c>
      <c r="F1909" s="53" t="inlineStr">
        <is>
          <t>CHESHIRE</t>
        </is>
      </c>
      <c r="G1909" s="59" t="n"/>
      <c r="X1909" s="61" t="n"/>
      <c r="Y1909" s="61" t="n"/>
    </row>
    <row r="1910" ht="14.25" customHeight="1" s="86">
      <c r="E1910" s="53" t="inlineStr">
        <is>
          <t>NH</t>
        </is>
      </c>
      <c r="F1910" s="53" t="inlineStr">
        <is>
          <t>COOS</t>
        </is>
      </c>
      <c r="G1910" s="59" t="n"/>
      <c r="X1910" s="61" t="n"/>
      <c r="Y1910" s="61" t="n"/>
    </row>
    <row r="1911" ht="14.25" customHeight="1" s="86">
      <c r="E1911" s="53" t="inlineStr">
        <is>
          <t>NH</t>
        </is>
      </c>
      <c r="F1911" s="53" t="inlineStr">
        <is>
          <t>GRAFTON</t>
        </is>
      </c>
      <c r="G1911" s="59" t="n"/>
      <c r="X1911" s="61" t="n"/>
      <c r="Y1911" s="61" t="n"/>
    </row>
    <row r="1912" ht="14.25" customHeight="1" s="86">
      <c r="E1912" s="53" t="inlineStr">
        <is>
          <t>NH</t>
        </is>
      </c>
      <c r="F1912" s="53" t="inlineStr">
        <is>
          <t>HILLSBOROUGH</t>
        </is>
      </c>
      <c r="G1912" s="59" t="n"/>
      <c r="X1912" s="61" t="n"/>
      <c r="Y1912" s="61" t="n"/>
    </row>
    <row r="1913" ht="14.25" customHeight="1" s="86">
      <c r="E1913" s="53" t="inlineStr">
        <is>
          <t>NH</t>
        </is>
      </c>
      <c r="F1913" s="53" t="inlineStr">
        <is>
          <t>MERRIMACK</t>
        </is>
      </c>
      <c r="G1913" s="59" t="n"/>
      <c r="X1913" s="61" t="n"/>
      <c r="Y1913" s="61" t="n"/>
    </row>
    <row r="1914" ht="14.25" customHeight="1" s="86">
      <c r="E1914" s="53" t="inlineStr">
        <is>
          <t>NH</t>
        </is>
      </c>
      <c r="F1914" s="53" t="inlineStr">
        <is>
          <t>ROCKINGHAM</t>
        </is>
      </c>
      <c r="G1914" s="59" t="n"/>
      <c r="X1914" s="61" t="n"/>
      <c r="Y1914" s="61" t="n"/>
    </row>
    <row r="1915" ht="14.25" customHeight="1" s="86">
      <c r="E1915" s="53" t="inlineStr">
        <is>
          <t>NH</t>
        </is>
      </c>
      <c r="F1915" s="53" t="inlineStr">
        <is>
          <t>STRAFFORD</t>
        </is>
      </c>
      <c r="G1915" s="59" t="n"/>
      <c r="X1915" s="61" t="n"/>
      <c r="Y1915" s="61" t="n"/>
    </row>
    <row r="1916" ht="14.25" customHeight="1" s="86">
      <c r="E1916" s="53" t="inlineStr">
        <is>
          <t>NH</t>
        </is>
      </c>
      <c r="F1916" s="53" t="inlineStr">
        <is>
          <t>SULLIVAN</t>
        </is>
      </c>
      <c r="G1916" s="59" t="n"/>
      <c r="X1916" s="61" t="n"/>
      <c r="Y1916" s="61" t="n"/>
    </row>
    <row r="1917" ht="14.25" customHeight="1" s="86">
      <c r="E1917" s="53" t="inlineStr">
        <is>
          <t>NJ</t>
        </is>
      </c>
      <c r="F1917" s="53" t="inlineStr">
        <is>
          <t>ATLANTIC</t>
        </is>
      </c>
      <c r="G1917" s="59" t="n"/>
      <c r="X1917" s="61" t="n"/>
      <c r="Y1917" s="61" t="n"/>
    </row>
    <row r="1918" ht="14.25" customHeight="1" s="86">
      <c r="E1918" s="53" t="inlineStr">
        <is>
          <t>NJ</t>
        </is>
      </c>
      <c r="F1918" s="53" t="inlineStr">
        <is>
          <t>BERGEN</t>
        </is>
      </c>
      <c r="G1918" s="59" t="n"/>
      <c r="X1918" s="61" t="n"/>
      <c r="Y1918" s="61" t="n"/>
    </row>
    <row r="1919" ht="14.25" customHeight="1" s="86">
      <c r="E1919" s="53" t="inlineStr">
        <is>
          <t>NJ</t>
        </is>
      </c>
      <c r="F1919" s="53" t="inlineStr">
        <is>
          <t>BURLINGTON</t>
        </is>
      </c>
      <c r="G1919" s="59" t="n"/>
      <c r="X1919" s="61" t="n"/>
      <c r="Y1919" s="61" t="n"/>
    </row>
    <row r="1920" ht="14.25" customHeight="1" s="86">
      <c r="E1920" s="53" t="inlineStr">
        <is>
          <t>NJ</t>
        </is>
      </c>
      <c r="F1920" s="53" t="inlineStr">
        <is>
          <t>CAMDEN</t>
        </is>
      </c>
      <c r="G1920" s="59" t="n"/>
      <c r="X1920" s="61" t="n"/>
      <c r="Y1920" s="61" t="n"/>
    </row>
    <row r="1921" ht="14.25" customHeight="1" s="86">
      <c r="E1921" s="53" t="inlineStr">
        <is>
          <t>NJ</t>
        </is>
      </c>
      <c r="F1921" s="53" t="inlineStr">
        <is>
          <t>CAPE MAY</t>
        </is>
      </c>
      <c r="G1921" s="59" t="n"/>
      <c r="X1921" s="61" t="n"/>
      <c r="Y1921" s="61" t="n"/>
    </row>
    <row r="1922" ht="14.25" customHeight="1" s="86">
      <c r="E1922" s="53" t="inlineStr">
        <is>
          <t>NJ</t>
        </is>
      </c>
      <c r="F1922" s="53" t="inlineStr">
        <is>
          <t>CUMBERLAND</t>
        </is>
      </c>
      <c r="G1922" s="59" t="n"/>
      <c r="X1922" s="61" t="n"/>
      <c r="Y1922" s="61" t="n"/>
    </row>
    <row r="1923" ht="14.25" customHeight="1" s="86">
      <c r="E1923" s="53" t="inlineStr">
        <is>
          <t>NJ</t>
        </is>
      </c>
      <c r="F1923" s="53" t="inlineStr">
        <is>
          <t>ESSEX</t>
        </is>
      </c>
      <c r="G1923" s="59" t="n"/>
      <c r="X1923" s="61" t="n"/>
      <c r="Y1923" s="61" t="n"/>
    </row>
    <row r="1924" ht="14.25" customHeight="1" s="86">
      <c r="E1924" s="53" t="inlineStr">
        <is>
          <t>NJ</t>
        </is>
      </c>
      <c r="F1924" s="53" t="inlineStr">
        <is>
          <t>GLOUCESTER</t>
        </is>
      </c>
      <c r="G1924" s="59" t="n"/>
      <c r="X1924" s="61" t="n"/>
      <c r="Y1924" s="61" t="n"/>
    </row>
    <row r="1925" ht="14.25" customHeight="1" s="86">
      <c r="E1925" s="53" t="inlineStr">
        <is>
          <t>NJ</t>
        </is>
      </c>
      <c r="F1925" s="53" t="inlineStr">
        <is>
          <t>HUDSON</t>
        </is>
      </c>
      <c r="G1925" s="59" t="n"/>
      <c r="X1925" s="61" t="n"/>
      <c r="Y1925" s="61" t="n"/>
    </row>
    <row r="1926" ht="14.25" customHeight="1" s="86">
      <c r="E1926" s="53" t="inlineStr">
        <is>
          <t>NJ</t>
        </is>
      </c>
      <c r="F1926" s="53" t="inlineStr">
        <is>
          <t>HUNTERDON</t>
        </is>
      </c>
      <c r="G1926" s="59" t="n"/>
      <c r="X1926" s="61" t="n"/>
      <c r="Y1926" s="61" t="n"/>
    </row>
    <row r="1927" ht="14.25" customHeight="1" s="86">
      <c r="E1927" s="53" t="inlineStr">
        <is>
          <t>NJ</t>
        </is>
      </c>
      <c r="F1927" s="53" t="inlineStr">
        <is>
          <t>MERCER</t>
        </is>
      </c>
      <c r="G1927" s="59" t="n"/>
      <c r="X1927" s="61" t="n"/>
      <c r="Y1927" s="61" t="n"/>
    </row>
    <row r="1928" ht="14.25" customHeight="1" s="86">
      <c r="E1928" s="53" t="inlineStr">
        <is>
          <t>NJ</t>
        </is>
      </c>
      <c r="F1928" s="53" t="inlineStr">
        <is>
          <t>MIDDLESEX</t>
        </is>
      </c>
      <c r="G1928" s="59" t="n"/>
      <c r="X1928" s="61" t="n"/>
      <c r="Y1928" s="61" t="n"/>
    </row>
    <row r="1929" ht="14.25" customHeight="1" s="86">
      <c r="E1929" s="53" t="inlineStr">
        <is>
          <t>NJ</t>
        </is>
      </c>
      <c r="F1929" s="53" t="inlineStr">
        <is>
          <t>MONMOUTH</t>
        </is>
      </c>
      <c r="G1929" s="59" t="n"/>
      <c r="X1929" s="61" t="n"/>
      <c r="Y1929" s="61" t="n"/>
    </row>
    <row r="1930" ht="14.25" customHeight="1" s="86">
      <c r="E1930" s="53" t="inlineStr">
        <is>
          <t>NJ</t>
        </is>
      </c>
      <c r="F1930" s="53" t="inlineStr">
        <is>
          <t>MORRIS</t>
        </is>
      </c>
      <c r="G1930" s="59" t="n"/>
      <c r="X1930" s="61" t="n"/>
      <c r="Y1930" s="61" t="n"/>
    </row>
    <row r="1931" ht="14.25" customHeight="1" s="86">
      <c r="E1931" s="53" t="inlineStr">
        <is>
          <t>NJ</t>
        </is>
      </c>
      <c r="F1931" s="53" t="inlineStr">
        <is>
          <t>OCEAN</t>
        </is>
      </c>
      <c r="G1931" s="59" t="n"/>
      <c r="X1931" s="61" t="n"/>
      <c r="Y1931" s="61" t="n"/>
    </row>
    <row r="1932" ht="14.25" customHeight="1" s="86">
      <c r="E1932" s="53" t="inlineStr">
        <is>
          <t>NJ</t>
        </is>
      </c>
      <c r="F1932" s="53" t="inlineStr">
        <is>
          <t>PASSAIC</t>
        </is>
      </c>
      <c r="G1932" s="59" t="n"/>
      <c r="X1932" s="61" t="n"/>
      <c r="Y1932" s="61" t="n"/>
    </row>
    <row r="1933" ht="14.25" customHeight="1" s="86">
      <c r="E1933" s="53" t="inlineStr">
        <is>
          <t>NJ</t>
        </is>
      </c>
      <c r="F1933" s="53" t="inlineStr">
        <is>
          <t>SALEM</t>
        </is>
      </c>
      <c r="G1933" s="59" t="n"/>
      <c r="X1933" s="61" t="n"/>
      <c r="Y1933" s="61" t="n"/>
    </row>
    <row r="1934" ht="14.25" customHeight="1" s="86">
      <c r="E1934" s="53" t="inlineStr">
        <is>
          <t>NJ</t>
        </is>
      </c>
      <c r="F1934" s="53" t="inlineStr">
        <is>
          <t>SOMERSET</t>
        </is>
      </c>
      <c r="G1934" s="59" t="n"/>
      <c r="X1934" s="61" t="n"/>
      <c r="Y1934" s="61" t="n"/>
    </row>
    <row r="1935" ht="14.25" customHeight="1" s="86">
      <c r="E1935" s="53" t="inlineStr">
        <is>
          <t>NJ</t>
        </is>
      </c>
      <c r="F1935" s="53" t="inlineStr">
        <is>
          <t>SUSSEX</t>
        </is>
      </c>
      <c r="G1935" s="59" t="n"/>
      <c r="X1935" s="61" t="n"/>
      <c r="Y1935" s="61" t="n"/>
    </row>
    <row r="1936" ht="14.25" customHeight="1" s="86">
      <c r="E1936" s="53" t="inlineStr">
        <is>
          <t>NJ</t>
        </is>
      </c>
      <c r="F1936" s="53" t="inlineStr">
        <is>
          <t>UNION</t>
        </is>
      </c>
      <c r="G1936" s="59" t="n"/>
      <c r="X1936" s="61" t="n"/>
      <c r="Y1936" s="61" t="n"/>
    </row>
    <row r="1937" ht="14.25" customHeight="1" s="86">
      <c r="E1937" s="53" t="inlineStr">
        <is>
          <t>NJ</t>
        </is>
      </c>
      <c r="F1937" s="53" t="inlineStr">
        <is>
          <t>WARREN</t>
        </is>
      </c>
      <c r="G1937" s="59" t="n"/>
      <c r="X1937" s="61" t="n"/>
      <c r="Y1937" s="61" t="n"/>
    </row>
    <row r="1938" ht="14.25" customHeight="1" s="86">
      <c r="E1938" s="53" t="inlineStr">
        <is>
          <t>NM</t>
        </is>
      </c>
      <c r="F1938" s="53" t="inlineStr">
        <is>
          <t>BERNALILLO</t>
        </is>
      </c>
      <c r="G1938" s="59" t="n"/>
      <c r="X1938" s="61" t="n"/>
      <c r="Y1938" s="61" t="n"/>
    </row>
    <row r="1939" ht="14.25" customHeight="1" s="86">
      <c r="E1939" s="53" t="inlineStr">
        <is>
          <t>NM</t>
        </is>
      </c>
      <c r="F1939" s="53" t="inlineStr">
        <is>
          <t>CATRON</t>
        </is>
      </c>
      <c r="G1939" s="59" t="n"/>
      <c r="X1939" s="61" t="n"/>
      <c r="Y1939" s="61" t="n"/>
    </row>
    <row r="1940" ht="14.25" customHeight="1" s="86">
      <c r="E1940" s="53" t="inlineStr">
        <is>
          <t>NM</t>
        </is>
      </c>
      <c r="F1940" s="53" t="inlineStr">
        <is>
          <t>CHAVES</t>
        </is>
      </c>
      <c r="G1940" s="59" t="n"/>
      <c r="X1940" s="61" t="n"/>
      <c r="Y1940" s="61" t="n"/>
    </row>
    <row r="1941" ht="14.25" customHeight="1" s="86">
      <c r="E1941" s="53" t="inlineStr">
        <is>
          <t>NM</t>
        </is>
      </c>
      <c r="F1941" s="53" t="inlineStr">
        <is>
          <t>CIBOLA</t>
        </is>
      </c>
      <c r="G1941" s="59" t="n"/>
      <c r="X1941" s="61" t="n"/>
      <c r="Y1941" s="61" t="n"/>
    </row>
    <row r="1942" ht="14.25" customHeight="1" s="86">
      <c r="E1942" s="53" t="inlineStr">
        <is>
          <t>NM</t>
        </is>
      </c>
      <c r="F1942" s="53" t="inlineStr">
        <is>
          <t>COLFAX</t>
        </is>
      </c>
      <c r="G1942" s="59" t="n"/>
      <c r="X1942" s="61" t="n"/>
      <c r="Y1942" s="61" t="n"/>
    </row>
    <row r="1943" ht="14.25" customHeight="1" s="86">
      <c r="E1943" s="53" t="inlineStr">
        <is>
          <t>NM</t>
        </is>
      </c>
      <c r="F1943" s="53" t="inlineStr">
        <is>
          <t>CURRY</t>
        </is>
      </c>
      <c r="G1943" s="59" t="n"/>
      <c r="X1943" s="61" t="n"/>
      <c r="Y1943" s="61" t="n"/>
    </row>
    <row r="1944" ht="14.25" customHeight="1" s="86">
      <c r="E1944" s="53" t="inlineStr">
        <is>
          <t>NM</t>
        </is>
      </c>
      <c r="F1944" s="53" t="inlineStr">
        <is>
          <t>DE BACA</t>
        </is>
      </c>
      <c r="G1944" s="59" t="n"/>
      <c r="X1944" s="61" t="n"/>
      <c r="Y1944" s="61" t="n"/>
    </row>
    <row r="1945" ht="14.25" customHeight="1" s="86">
      <c r="E1945" s="53" t="inlineStr">
        <is>
          <t>NM</t>
        </is>
      </c>
      <c r="F1945" s="53" t="inlineStr">
        <is>
          <t>DONA ANA</t>
        </is>
      </c>
      <c r="G1945" s="59" t="n"/>
      <c r="X1945" s="61" t="n"/>
      <c r="Y1945" s="61" t="n"/>
    </row>
    <row r="1946" ht="14.25" customHeight="1" s="86">
      <c r="E1946" s="53" t="inlineStr">
        <is>
          <t>NM</t>
        </is>
      </c>
      <c r="F1946" s="53" t="inlineStr">
        <is>
          <t>EDDY</t>
        </is>
      </c>
      <c r="G1946" s="59" t="n"/>
      <c r="X1946" s="61" t="n"/>
      <c r="Y1946" s="61" t="n"/>
    </row>
    <row r="1947" ht="14.25" customHeight="1" s="86">
      <c r="E1947" s="53" t="inlineStr">
        <is>
          <t>NM</t>
        </is>
      </c>
      <c r="F1947" s="53" t="inlineStr">
        <is>
          <t>GRANT</t>
        </is>
      </c>
      <c r="G1947" s="59" t="n"/>
      <c r="X1947" s="61" t="n"/>
      <c r="Y1947" s="61" t="n"/>
    </row>
    <row r="1948" ht="14.25" customHeight="1" s="86">
      <c r="E1948" s="53" t="inlineStr">
        <is>
          <t>NM</t>
        </is>
      </c>
      <c r="F1948" s="53" t="inlineStr">
        <is>
          <t>GUADALUPE</t>
        </is>
      </c>
      <c r="G1948" s="59" t="n"/>
      <c r="X1948" s="61" t="n"/>
      <c r="Y1948" s="61" t="n"/>
    </row>
    <row r="1949" ht="14.25" customHeight="1" s="86">
      <c r="E1949" s="53" t="inlineStr">
        <is>
          <t>NM</t>
        </is>
      </c>
      <c r="F1949" s="53" t="inlineStr">
        <is>
          <t>HARDING</t>
        </is>
      </c>
      <c r="G1949" s="59" t="n"/>
      <c r="X1949" s="61" t="n"/>
      <c r="Y1949" s="61" t="n"/>
    </row>
    <row r="1950" ht="14.25" customHeight="1" s="86">
      <c r="E1950" s="53" t="inlineStr">
        <is>
          <t>NM</t>
        </is>
      </c>
      <c r="F1950" s="53" t="inlineStr">
        <is>
          <t>HIDALGO</t>
        </is>
      </c>
      <c r="G1950" s="59" t="n"/>
      <c r="X1950" s="61" t="n"/>
      <c r="Y1950" s="61" t="n"/>
    </row>
    <row r="1951" ht="14.25" customHeight="1" s="86">
      <c r="E1951" s="53" t="inlineStr">
        <is>
          <t>NM</t>
        </is>
      </c>
      <c r="F1951" s="53" t="inlineStr">
        <is>
          <t>LEA</t>
        </is>
      </c>
      <c r="G1951" s="59" t="n"/>
      <c r="X1951" s="61" t="n"/>
      <c r="Y1951" s="61" t="n"/>
    </row>
    <row r="1952" ht="14.25" customHeight="1" s="86">
      <c r="E1952" s="53" t="inlineStr">
        <is>
          <t>NM</t>
        </is>
      </c>
      <c r="F1952" s="53" t="inlineStr">
        <is>
          <t>LINCOLN</t>
        </is>
      </c>
      <c r="G1952" s="59" t="n"/>
      <c r="X1952" s="61" t="n"/>
      <c r="Y1952" s="61" t="n"/>
    </row>
    <row r="1953" ht="14.25" customHeight="1" s="86">
      <c r="E1953" s="53" t="inlineStr">
        <is>
          <t>NM</t>
        </is>
      </c>
      <c r="F1953" s="53" t="inlineStr">
        <is>
          <t>LOS ALAMOS</t>
        </is>
      </c>
      <c r="G1953" s="59" t="n"/>
      <c r="X1953" s="61" t="n"/>
      <c r="Y1953" s="61" t="n"/>
    </row>
    <row r="1954" ht="14.25" customHeight="1" s="86">
      <c r="E1954" s="53" t="inlineStr">
        <is>
          <t>NM</t>
        </is>
      </c>
      <c r="F1954" s="53" t="inlineStr">
        <is>
          <t>LUNA</t>
        </is>
      </c>
      <c r="G1954" s="59" t="n"/>
      <c r="X1954" s="61" t="n"/>
      <c r="Y1954" s="61" t="n"/>
    </row>
    <row r="1955" ht="14.25" customHeight="1" s="86">
      <c r="E1955" s="53" t="inlineStr">
        <is>
          <t>NM</t>
        </is>
      </c>
      <c r="F1955" s="53" t="inlineStr">
        <is>
          <t>MCKINLEY</t>
        </is>
      </c>
      <c r="G1955" s="59" t="n"/>
      <c r="X1955" s="61" t="n"/>
      <c r="Y1955" s="61" t="n"/>
    </row>
    <row r="1956" ht="14.25" customHeight="1" s="86">
      <c r="E1956" s="53" t="inlineStr">
        <is>
          <t>NM</t>
        </is>
      </c>
      <c r="F1956" s="53" t="inlineStr">
        <is>
          <t>MORA</t>
        </is>
      </c>
      <c r="G1956" s="59" t="n"/>
      <c r="X1956" s="61" t="n"/>
      <c r="Y1956" s="61" t="n"/>
    </row>
    <row r="1957" ht="14.25" customHeight="1" s="86">
      <c r="E1957" s="53" t="inlineStr">
        <is>
          <t>NM</t>
        </is>
      </c>
      <c r="F1957" s="53" t="inlineStr">
        <is>
          <t>OTERO</t>
        </is>
      </c>
      <c r="G1957" s="59" t="n"/>
      <c r="X1957" s="61" t="n"/>
      <c r="Y1957" s="61" t="n"/>
    </row>
    <row r="1958" ht="14.25" customHeight="1" s="86">
      <c r="E1958" s="53" t="inlineStr">
        <is>
          <t>NM</t>
        </is>
      </c>
      <c r="F1958" s="53" t="inlineStr">
        <is>
          <t>QUAY</t>
        </is>
      </c>
      <c r="G1958" s="59" t="n"/>
      <c r="X1958" s="61" t="n"/>
      <c r="Y1958" s="61" t="n"/>
    </row>
    <row r="1959" ht="14.25" customHeight="1" s="86">
      <c r="E1959" s="53" t="inlineStr">
        <is>
          <t>NM</t>
        </is>
      </c>
      <c r="F1959" s="53" t="inlineStr">
        <is>
          <t>RIO ARRIBA</t>
        </is>
      </c>
      <c r="G1959" s="59" t="n"/>
      <c r="X1959" s="61" t="n"/>
      <c r="Y1959" s="61" t="n"/>
    </row>
    <row r="1960" ht="14.25" customHeight="1" s="86">
      <c r="E1960" s="53" t="inlineStr">
        <is>
          <t>NM</t>
        </is>
      </c>
      <c r="F1960" s="53" t="inlineStr">
        <is>
          <t>ROOSEVELT</t>
        </is>
      </c>
      <c r="G1960" s="59" t="n"/>
      <c r="X1960" s="61" t="n"/>
      <c r="Y1960" s="61" t="n"/>
    </row>
    <row r="1961" ht="14.25" customHeight="1" s="86">
      <c r="E1961" s="53" t="inlineStr">
        <is>
          <t>NM</t>
        </is>
      </c>
      <c r="F1961" s="53" t="inlineStr">
        <is>
          <t>SAN JUAN</t>
        </is>
      </c>
      <c r="G1961" s="59" t="n"/>
      <c r="X1961" s="61" t="n"/>
      <c r="Y1961" s="61" t="n"/>
    </row>
    <row r="1962" ht="14.25" customHeight="1" s="86">
      <c r="E1962" s="53" t="inlineStr">
        <is>
          <t>NM</t>
        </is>
      </c>
      <c r="F1962" s="53" t="inlineStr">
        <is>
          <t>SAN MIGUEL</t>
        </is>
      </c>
      <c r="G1962" s="59" t="n"/>
      <c r="X1962" s="61" t="n"/>
      <c r="Y1962" s="61" t="n"/>
    </row>
    <row r="1963" ht="14.25" customHeight="1" s="86">
      <c r="E1963" s="53" t="inlineStr">
        <is>
          <t>NM</t>
        </is>
      </c>
      <c r="F1963" s="53" t="inlineStr">
        <is>
          <t>SANDOVAL</t>
        </is>
      </c>
      <c r="G1963" s="59" t="n"/>
      <c r="X1963" s="61" t="n"/>
      <c r="Y1963" s="61" t="n"/>
    </row>
    <row r="1964" ht="14.25" customHeight="1" s="86">
      <c r="E1964" s="53" t="inlineStr">
        <is>
          <t>NM</t>
        </is>
      </c>
      <c r="F1964" s="53" t="inlineStr">
        <is>
          <t>SANTA FE</t>
        </is>
      </c>
      <c r="G1964" s="59" t="n"/>
      <c r="X1964" s="61" t="n"/>
      <c r="Y1964" s="61" t="n"/>
    </row>
    <row r="1965" ht="14.25" customHeight="1" s="86">
      <c r="E1965" s="53" t="inlineStr">
        <is>
          <t>NM</t>
        </is>
      </c>
      <c r="F1965" s="53" t="inlineStr">
        <is>
          <t>SIERRA</t>
        </is>
      </c>
      <c r="G1965" s="59" t="n"/>
      <c r="X1965" s="61" t="n"/>
      <c r="Y1965" s="61" t="n"/>
    </row>
    <row r="1966" ht="14.25" customHeight="1" s="86">
      <c r="E1966" s="53" t="inlineStr">
        <is>
          <t>NM</t>
        </is>
      </c>
      <c r="F1966" s="53" t="inlineStr">
        <is>
          <t>SOCORRO</t>
        </is>
      </c>
      <c r="G1966" s="59" t="n"/>
      <c r="X1966" s="61" t="n"/>
      <c r="Y1966" s="61" t="n"/>
    </row>
    <row r="1967" ht="14.25" customHeight="1" s="86">
      <c r="E1967" s="53" t="inlineStr">
        <is>
          <t>NM</t>
        </is>
      </c>
      <c r="F1967" s="53" t="inlineStr">
        <is>
          <t>TAOS</t>
        </is>
      </c>
      <c r="G1967" s="59" t="n"/>
      <c r="X1967" s="61" t="n"/>
      <c r="Y1967" s="61" t="n"/>
    </row>
    <row r="1968" ht="14.25" customHeight="1" s="86">
      <c r="E1968" s="53" t="inlineStr">
        <is>
          <t>NM</t>
        </is>
      </c>
      <c r="F1968" s="53" t="inlineStr">
        <is>
          <t>TORRANCE</t>
        </is>
      </c>
      <c r="G1968" s="59" t="n"/>
      <c r="X1968" s="61" t="n"/>
      <c r="Y1968" s="61" t="n"/>
    </row>
    <row r="1969" ht="14.25" customHeight="1" s="86">
      <c r="E1969" s="53" t="inlineStr">
        <is>
          <t>NM</t>
        </is>
      </c>
      <c r="F1969" s="53" t="inlineStr">
        <is>
          <t>UNION</t>
        </is>
      </c>
      <c r="G1969" s="59" t="n"/>
      <c r="X1969" s="61" t="n"/>
      <c r="Y1969" s="61" t="n"/>
    </row>
    <row r="1970" ht="14.25" customHeight="1" s="86">
      <c r="E1970" s="53" t="inlineStr">
        <is>
          <t>NM</t>
        </is>
      </c>
      <c r="F1970" s="53" t="inlineStr">
        <is>
          <t>VALENCIA</t>
        </is>
      </c>
      <c r="G1970" s="59" t="n"/>
      <c r="X1970" s="61" t="n"/>
      <c r="Y1970" s="61" t="n"/>
    </row>
    <row r="1971" ht="14.25" customHeight="1" s="86">
      <c r="E1971" s="53" t="inlineStr">
        <is>
          <t>NV</t>
        </is>
      </c>
      <c r="F1971" s="53" t="inlineStr">
        <is>
          <t>CARSON CITY</t>
        </is>
      </c>
      <c r="G1971" s="59" t="n"/>
      <c r="X1971" s="61" t="n"/>
      <c r="Y1971" s="61" t="n"/>
    </row>
    <row r="1972" ht="14.25" customHeight="1" s="86">
      <c r="E1972" s="53" t="inlineStr">
        <is>
          <t>NV</t>
        </is>
      </c>
      <c r="F1972" s="53" t="inlineStr">
        <is>
          <t>CHURCHILL</t>
        </is>
      </c>
      <c r="G1972" s="59" t="n"/>
      <c r="X1972" s="61" t="n"/>
      <c r="Y1972" s="61" t="n"/>
    </row>
    <row r="1973" ht="14.25" customHeight="1" s="86">
      <c r="E1973" s="53" t="inlineStr">
        <is>
          <t>NV</t>
        </is>
      </c>
      <c r="F1973" s="53" t="inlineStr">
        <is>
          <t>CLARK</t>
        </is>
      </c>
      <c r="G1973" s="59" t="n"/>
      <c r="X1973" s="61" t="n"/>
      <c r="Y1973" s="61" t="n"/>
    </row>
    <row r="1974" ht="14.25" customHeight="1" s="86">
      <c r="E1974" s="53" t="inlineStr">
        <is>
          <t>NV</t>
        </is>
      </c>
      <c r="F1974" s="53" t="inlineStr">
        <is>
          <t>DOUGLAS</t>
        </is>
      </c>
      <c r="G1974" s="59" t="n"/>
      <c r="X1974" s="61" t="n"/>
      <c r="Y1974" s="61" t="n"/>
    </row>
    <row r="1975" ht="14.25" customHeight="1" s="86">
      <c r="E1975" s="53" t="inlineStr">
        <is>
          <t>NV</t>
        </is>
      </c>
      <c r="F1975" s="53" t="inlineStr">
        <is>
          <t>ELKO</t>
        </is>
      </c>
      <c r="G1975" s="59" t="n"/>
      <c r="X1975" s="61" t="n"/>
      <c r="Y1975" s="61" t="n"/>
    </row>
    <row r="1976" ht="14.25" customHeight="1" s="86">
      <c r="E1976" s="53" t="inlineStr">
        <is>
          <t>NV</t>
        </is>
      </c>
      <c r="F1976" s="53" t="inlineStr">
        <is>
          <t>ESMERALDA</t>
        </is>
      </c>
      <c r="G1976" s="59" t="n"/>
      <c r="X1976" s="61" t="n"/>
      <c r="Y1976" s="61" t="n"/>
    </row>
    <row r="1977" ht="14.25" customHeight="1" s="86">
      <c r="E1977" s="53" t="inlineStr">
        <is>
          <t>NV</t>
        </is>
      </c>
      <c r="F1977" s="53" t="inlineStr">
        <is>
          <t>EUREKA</t>
        </is>
      </c>
      <c r="G1977" s="59" t="n"/>
      <c r="X1977" s="61" t="n"/>
      <c r="Y1977" s="61" t="n"/>
    </row>
    <row r="1978" ht="14.25" customHeight="1" s="86">
      <c r="E1978" s="53" t="inlineStr">
        <is>
          <t>NV</t>
        </is>
      </c>
      <c r="F1978" s="53" t="inlineStr">
        <is>
          <t>HUMBOLDT</t>
        </is>
      </c>
      <c r="G1978" s="59" t="n"/>
      <c r="X1978" s="61" t="n"/>
      <c r="Y1978" s="61" t="n"/>
    </row>
    <row r="1979" ht="14.25" customHeight="1" s="86">
      <c r="E1979" s="53" t="inlineStr">
        <is>
          <t>NV</t>
        </is>
      </c>
      <c r="F1979" s="53" t="inlineStr">
        <is>
          <t>LANDER</t>
        </is>
      </c>
      <c r="G1979" s="59" t="n"/>
      <c r="X1979" s="61" t="n"/>
      <c r="Y1979" s="61" t="n"/>
    </row>
    <row r="1980" ht="14.25" customHeight="1" s="86">
      <c r="E1980" s="53" t="inlineStr">
        <is>
          <t>NV</t>
        </is>
      </c>
      <c r="F1980" s="53" t="inlineStr">
        <is>
          <t>LINCOLN</t>
        </is>
      </c>
      <c r="G1980" s="59" t="n"/>
      <c r="X1980" s="61" t="n"/>
      <c r="Y1980" s="61" t="n"/>
    </row>
    <row r="1981" ht="14.25" customHeight="1" s="86">
      <c r="E1981" s="53" t="inlineStr">
        <is>
          <t>NV</t>
        </is>
      </c>
      <c r="F1981" s="53" t="inlineStr">
        <is>
          <t>LYON</t>
        </is>
      </c>
      <c r="G1981" s="59" t="n"/>
      <c r="X1981" s="61" t="n"/>
      <c r="Y1981" s="61" t="n"/>
    </row>
    <row r="1982" ht="14.25" customHeight="1" s="86">
      <c r="E1982" s="53" t="inlineStr">
        <is>
          <t>NV</t>
        </is>
      </c>
      <c r="F1982" s="53" t="inlineStr">
        <is>
          <t>MINERAL</t>
        </is>
      </c>
      <c r="G1982" s="59" t="n"/>
      <c r="X1982" s="61" t="n"/>
      <c r="Y1982" s="61" t="n"/>
    </row>
    <row r="1983" ht="14.25" customHeight="1" s="86">
      <c r="E1983" s="53" t="inlineStr">
        <is>
          <t>NV</t>
        </is>
      </c>
      <c r="F1983" s="53" t="inlineStr">
        <is>
          <t>NYE</t>
        </is>
      </c>
      <c r="G1983" s="59" t="n"/>
      <c r="X1983" s="61" t="n"/>
      <c r="Y1983" s="61" t="n"/>
    </row>
    <row r="1984" ht="14.25" customHeight="1" s="86">
      <c r="E1984" s="53" t="inlineStr">
        <is>
          <t>NV</t>
        </is>
      </c>
      <c r="F1984" s="53" t="inlineStr">
        <is>
          <t>PERSHING</t>
        </is>
      </c>
      <c r="G1984" s="59" t="n"/>
      <c r="X1984" s="61" t="n"/>
      <c r="Y1984" s="61" t="n"/>
    </row>
    <row r="1985" ht="14.25" customHeight="1" s="86">
      <c r="E1985" s="53" t="inlineStr">
        <is>
          <t>NV</t>
        </is>
      </c>
      <c r="F1985" s="53" t="inlineStr">
        <is>
          <t>STOREY</t>
        </is>
      </c>
      <c r="G1985" s="59" t="n"/>
      <c r="X1985" s="61" t="n"/>
      <c r="Y1985" s="61" t="n"/>
    </row>
    <row r="1986" ht="14.25" customHeight="1" s="86">
      <c r="E1986" s="53" t="inlineStr">
        <is>
          <t>NV</t>
        </is>
      </c>
      <c r="F1986" s="53" t="inlineStr">
        <is>
          <t>WASHOE</t>
        </is>
      </c>
      <c r="G1986" s="59" t="n"/>
      <c r="X1986" s="61" t="n"/>
      <c r="Y1986" s="61" t="n"/>
    </row>
    <row r="1987" ht="14.25" customHeight="1" s="86">
      <c r="E1987" s="53" t="inlineStr">
        <is>
          <t>NV</t>
        </is>
      </c>
      <c r="F1987" s="53" t="inlineStr">
        <is>
          <t>WHITE PINE</t>
        </is>
      </c>
      <c r="G1987" s="59" t="n"/>
      <c r="X1987" s="61" t="n"/>
      <c r="Y1987" s="61" t="n"/>
    </row>
    <row r="1988" ht="14.25" customHeight="1" s="86">
      <c r="E1988" s="53" t="inlineStr">
        <is>
          <t>NY</t>
        </is>
      </c>
      <c r="F1988" s="53" t="inlineStr">
        <is>
          <t>ALBANY</t>
        </is>
      </c>
      <c r="G1988" s="59" t="n"/>
      <c r="X1988" s="61" t="n"/>
      <c r="Y1988" s="61" t="n"/>
    </row>
    <row r="1989" ht="14.25" customHeight="1" s="86">
      <c r="E1989" s="53" t="inlineStr">
        <is>
          <t>NY</t>
        </is>
      </c>
      <c r="F1989" s="53" t="inlineStr">
        <is>
          <t>ALLEGANY</t>
        </is>
      </c>
      <c r="G1989" s="59" t="n"/>
      <c r="X1989" s="61" t="n"/>
      <c r="Y1989" s="61" t="n"/>
    </row>
    <row r="1990" ht="14.25" customHeight="1" s="86">
      <c r="E1990" s="53" t="inlineStr">
        <is>
          <t>NY</t>
        </is>
      </c>
      <c r="F1990" s="53" t="inlineStr">
        <is>
          <t>BRONX</t>
        </is>
      </c>
      <c r="G1990" s="59" t="n"/>
      <c r="X1990" s="61" t="n"/>
      <c r="Y1990" s="61" t="n"/>
    </row>
    <row r="1991" ht="14.25" customHeight="1" s="86">
      <c r="E1991" s="53" t="inlineStr">
        <is>
          <t>NY</t>
        </is>
      </c>
      <c r="F1991" s="53" t="inlineStr">
        <is>
          <t>BROOME</t>
        </is>
      </c>
      <c r="G1991" s="59" t="n"/>
      <c r="X1991" s="61" t="n"/>
      <c r="Y1991" s="61" t="n"/>
    </row>
    <row r="1992" ht="14.25" customHeight="1" s="86">
      <c r="E1992" s="53" t="inlineStr">
        <is>
          <t>NY</t>
        </is>
      </c>
      <c r="F1992" s="53" t="inlineStr">
        <is>
          <t>CATTARAUGUS</t>
        </is>
      </c>
      <c r="G1992" s="59" t="n"/>
      <c r="X1992" s="61" t="n"/>
      <c r="Y1992" s="61" t="n"/>
    </row>
    <row r="1993" ht="14.25" customHeight="1" s="86">
      <c r="E1993" s="53" t="inlineStr">
        <is>
          <t>NY</t>
        </is>
      </c>
      <c r="F1993" s="53" t="inlineStr">
        <is>
          <t>CAYUGA</t>
        </is>
      </c>
      <c r="G1993" s="59" t="n"/>
      <c r="X1993" s="61" t="n"/>
      <c r="Y1993" s="61" t="n"/>
    </row>
    <row r="1994" ht="14.25" customHeight="1" s="86">
      <c r="E1994" s="53" t="inlineStr">
        <is>
          <t>NY</t>
        </is>
      </c>
      <c r="F1994" s="53" t="inlineStr">
        <is>
          <t>CHAUTAUQUA</t>
        </is>
      </c>
      <c r="G1994" s="59" t="n"/>
      <c r="X1994" s="61" t="n"/>
      <c r="Y1994" s="61" t="n"/>
    </row>
    <row r="1995" ht="14.25" customHeight="1" s="86">
      <c r="E1995" s="53" t="inlineStr">
        <is>
          <t>NY</t>
        </is>
      </c>
      <c r="F1995" s="53" t="inlineStr">
        <is>
          <t>CHEMUNG</t>
        </is>
      </c>
      <c r="G1995" s="59" t="n"/>
      <c r="X1995" s="61" t="n"/>
      <c r="Y1995" s="61" t="n"/>
    </row>
    <row r="1996" ht="14.25" customHeight="1" s="86">
      <c r="E1996" s="53" t="inlineStr">
        <is>
          <t>NY</t>
        </is>
      </c>
      <c r="F1996" s="53" t="inlineStr">
        <is>
          <t>CHENANGO</t>
        </is>
      </c>
      <c r="G1996" s="59" t="n"/>
      <c r="X1996" s="61" t="n"/>
      <c r="Y1996" s="61" t="n"/>
    </row>
    <row r="1997" ht="14.25" customHeight="1" s="86">
      <c r="E1997" s="53" t="inlineStr">
        <is>
          <t>NY</t>
        </is>
      </c>
      <c r="F1997" s="53" t="inlineStr">
        <is>
          <t>CLINTON</t>
        </is>
      </c>
      <c r="G1997" s="59" t="n"/>
      <c r="X1997" s="61" t="n"/>
      <c r="Y1997" s="61" t="n"/>
    </row>
    <row r="1998" ht="14.25" customHeight="1" s="86">
      <c r="E1998" s="53" t="inlineStr">
        <is>
          <t>NY</t>
        </is>
      </c>
      <c r="F1998" s="53" t="inlineStr">
        <is>
          <t>COLUMBIA</t>
        </is>
      </c>
      <c r="G1998" s="59" t="n"/>
      <c r="X1998" s="61" t="n"/>
      <c r="Y1998" s="61" t="n"/>
    </row>
    <row r="1999" ht="14.25" customHeight="1" s="86">
      <c r="E1999" s="53" t="inlineStr">
        <is>
          <t>NY</t>
        </is>
      </c>
      <c r="F1999" s="53" t="inlineStr">
        <is>
          <t>CORTLAND</t>
        </is>
      </c>
      <c r="G1999" s="59" t="n"/>
      <c r="X1999" s="61" t="n"/>
      <c r="Y1999" s="61" t="n"/>
    </row>
    <row r="2000" ht="14.25" customHeight="1" s="86">
      <c r="E2000" s="53" t="inlineStr">
        <is>
          <t>NY</t>
        </is>
      </c>
      <c r="F2000" s="53" t="inlineStr">
        <is>
          <t>DELAWARE</t>
        </is>
      </c>
      <c r="G2000" s="59" t="n"/>
      <c r="X2000" s="61" t="n"/>
      <c r="Y2000" s="61" t="n"/>
    </row>
    <row r="2001" ht="14.25" customHeight="1" s="86">
      <c r="E2001" s="53" t="inlineStr">
        <is>
          <t>NY</t>
        </is>
      </c>
      <c r="F2001" s="53" t="inlineStr">
        <is>
          <t>DUTCHESS</t>
        </is>
      </c>
      <c r="G2001" s="59" t="n"/>
      <c r="X2001" s="61" t="n"/>
      <c r="Y2001" s="61" t="n"/>
    </row>
    <row r="2002" ht="14.25" customHeight="1" s="86">
      <c r="E2002" s="53" t="inlineStr">
        <is>
          <t>NY</t>
        </is>
      </c>
      <c r="F2002" s="53" t="inlineStr">
        <is>
          <t>ERIE</t>
        </is>
      </c>
      <c r="G2002" s="59" t="n"/>
      <c r="X2002" s="61" t="n"/>
      <c r="Y2002" s="61" t="n"/>
    </row>
    <row r="2003" ht="14.25" customHeight="1" s="86">
      <c r="E2003" s="53" t="inlineStr">
        <is>
          <t>NY</t>
        </is>
      </c>
      <c r="F2003" s="53" t="inlineStr">
        <is>
          <t>ESSEX</t>
        </is>
      </c>
      <c r="G2003" s="59" t="n"/>
      <c r="X2003" s="61" t="n"/>
      <c r="Y2003" s="61" t="n"/>
    </row>
    <row r="2004" ht="14.25" customHeight="1" s="86">
      <c r="E2004" s="53" t="inlineStr">
        <is>
          <t>NY</t>
        </is>
      </c>
      <c r="F2004" s="53" t="inlineStr">
        <is>
          <t>FRANKLIN</t>
        </is>
      </c>
      <c r="G2004" s="59" t="n"/>
      <c r="X2004" s="61" t="n"/>
      <c r="Y2004" s="61" t="n"/>
    </row>
    <row r="2005" ht="14.25" customHeight="1" s="86">
      <c r="E2005" s="53" t="inlineStr">
        <is>
          <t>NY</t>
        </is>
      </c>
      <c r="F2005" s="53" t="inlineStr">
        <is>
          <t>FULTON</t>
        </is>
      </c>
      <c r="G2005" s="59" t="n"/>
      <c r="X2005" s="61" t="n"/>
      <c r="Y2005" s="61" t="n"/>
    </row>
    <row r="2006" ht="14.25" customHeight="1" s="86">
      <c r="E2006" s="53" t="inlineStr">
        <is>
          <t>NY</t>
        </is>
      </c>
      <c r="F2006" s="53" t="inlineStr">
        <is>
          <t>GENESEE</t>
        </is>
      </c>
      <c r="G2006" s="59" t="n"/>
      <c r="X2006" s="61" t="n"/>
      <c r="Y2006" s="61" t="n"/>
    </row>
    <row r="2007" ht="14.25" customHeight="1" s="86">
      <c r="E2007" s="53" t="inlineStr">
        <is>
          <t>NY</t>
        </is>
      </c>
      <c r="F2007" s="53" t="inlineStr">
        <is>
          <t>GREENE</t>
        </is>
      </c>
      <c r="G2007" s="59" t="n"/>
      <c r="X2007" s="61" t="n"/>
      <c r="Y2007" s="61" t="n"/>
    </row>
    <row r="2008" ht="14.25" customHeight="1" s="86">
      <c r="E2008" s="53" t="inlineStr">
        <is>
          <t>NY</t>
        </is>
      </c>
      <c r="F2008" s="53" t="inlineStr">
        <is>
          <t>HAMILTON</t>
        </is>
      </c>
      <c r="G2008" s="59" t="n"/>
      <c r="X2008" s="61" t="n"/>
      <c r="Y2008" s="61" t="n"/>
    </row>
    <row r="2009" ht="14.25" customHeight="1" s="86">
      <c r="E2009" s="53" t="inlineStr">
        <is>
          <t>NY</t>
        </is>
      </c>
      <c r="F2009" s="53" t="inlineStr">
        <is>
          <t>HERKIMER</t>
        </is>
      </c>
      <c r="G2009" s="59" t="n"/>
      <c r="X2009" s="61" t="n"/>
      <c r="Y2009" s="61" t="n"/>
    </row>
    <row r="2010" ht="14.25" customHeight="1" s="86">
      <c r="E2010" s="53" t="inlineStr">
        <is>
          <t>NY</t>
        </is>
      </c>
      <c r="F2010" s="53" t="inlineStr">
        <is>
          <t>JEFFERSON</t>
        </is>
      </c>
      <c r="G2010" s="59" t="n"/>
      <c r="X2010" s="61" t="n"/>
      <c r="Y2010" s="61" t="n"/>
    </row>
    <row r="2011" ht="14.25" customHeight="1" s="86">
      <c r="E2011" s="53" t="inlineStr">
        <is>
          <t>NY</t>
        </is>
      </c>
      <c r="F2011" s="53" t="inlineStr">
        <is>
          <t>KINGS</t>
        </is>
      </c>
      <c r="G2011" s="59" t="n"/>
      <c r="X2011" s="61" t="n"/>
      <c r="Y2011" s="61" t="n"/>
    </row>
    <row r="2012" ht="14.25" customHeight="1" s="86">
      <c r="E2012" s="53" t="inlineStr">
        <is>
          <t>NY</t>
        </is>
      </c>
      <c r="F2012" s="53" t="inlineStr">
        <is>
          <t>LEWIS</t>
        </is>
      </c>
      <c r="G2012" s="59" t="n"/>
      <c r="X2012" s="61" t="n"/>
      <c r="Y2012" s="61" t="n"/>
    </row>
    <row r="2013" ht="14.25" customHeight="1" s="86">
      <c r="E2013" s="53" t="inlineStr">
        <is>
          <t>NY</t>
        </is>
      </c>
      <c r="F2013" s="53" t="inlineStr">
        <is>
          <t>LIVINGSTON</t>
        </is>
      </c>
      <c r="G2013" s="59" t="n"/>
      <c r="X2013" s="61" t="n"/>
      <c r="Y2013" s="61" t="n"/>
    </row>
    <row r="2014" ht="14.25" customHeight="1" s="86">
      <c r="E2014" s="53" t="inlineStr">
        <is>
          <t>NY</t>
        </is>
      </c>
      <c r="F2014" s="53" t="inlineStr">
        <is>
          <t>MADISON</t>
        </is>
      </c>
      <c r="G2014" s="59" t="n"/>
      <c r="X2014" s="61" t="n"/>
      <c r="Y2014" s="61" t="n"/>
    </row>
    <row r="2015" ht="14.25" customHeight="1" s="86">
      <c r="E2015" s="53" t="inlineStr">
        <is>
          <t>NY</t>
        </is>
      </c>
      <c r="F2015" s="53" t="inlineStr">
        <is>
          <t>MONROE</t>
        </is>
      </c>
      <c r="G2015" s="59" t="n"/>
      <c r="X2015" s="61" t="n"/>
      <c r="Y2015" s="61" t="n"/>
    </row>
    <row r="2016" ht="14.25" customHeight="1" s="86">
      <c r="E2016" s="53" t="inlineStr">
        <is>
          <t>NY</t>
        </is>
      </c>
      <c r="F2016" s="53" t="inlineStr">
        <is>
          <t>MONTGOMERY</t>
        </is>
      </c>
      <c r="G2016" s="59" t="n"/>
      <c r="X2016" s="61" t="n"/>
      <c r="Y2016" s="61" t="n"/>
    </row>
    <row r="2017" ht="14.25" customHeight="1" s="86">
      <c r="E2017" s="53" t="inlineStr">
        <is>
          <t>NY</t>
        </is>
      </c>
      <c r="F2017" s="53" t="inlineStr">
        <is>
          <t>NASSAU</t>
        </is>
      </c>
      <c r="G2017" s="59" t="n"/>
      <c r="X2017" s="61" t="n"/>
      <c r="Y2017" s="61" t="n"/>
    </row>
    <row r="2018" ht="14.25" customHeight="1" s="86">
      <c r="E2018" s="53" t="inlineStr">
        <is>
          <t>NY</t>
        </is>
      </c>
      <c r="F2018" s="53" t="inlineStr">
        <is>
          <t>NEW YORK</t>
        </is>
      </c>
      <c r="G2018" s="59" t="n"/>
      <c r="X2018" s="61" t="n"/>
      <c r="Y2018" s="61" t="n"/>
    </row>
    <row r="2019" ht="14.25" customHeight="1" s="86">
      <c r="E2019" s="53" t="inlineStr">
        <is>
          <t>NY</t>
        </is>
      </c>
      <c r="F2019" s="53" t="inlineStr">
        <is>
          <t>NIAGARA</t>
        </is>
      </c>
      <c r="G2019" s="59" t="n"/>
      <c r="X2019" s="61" t="n"/>
      <c r="Y2019" s="61" t="n"/>
    </row>
    <row r="2020" ht="14.25" customHeight="1" s="86">
      <c r="E2020" s="53" t="inlineStr">
        <is>
          <t>NY</t>
        </is>
      </c>
      <c r="F2020" s="53" t="inlineStr">
        <is>
          <t>ONEIDA</t>
        </is>
      </c>
      <c r="G2020" s="59" t="n"/>
      <c r="X2020" s="61" t="n"/>
      <c r="Y2020" s="61" t="n"/>
    </row>
    <row r="2021" ht="14.25" customHeight="1" s="86">
      <c r="E2021" s="53" t="inlineStr">
        <is>
          <t>NY</t>
        </is>
      </c>
      <c r="F2021" s="53" t="inlineStr">
        <is>
          <t>ONONDAGA</t>
        </is>
      </c>
      <c r="G2021" s="59" t="n"/>
      <c r="X2021" s="61" t="n"/>
      <c r="Y2021" s="61" t="n"/>
    </row>
    <row r="2022" ht="14.25" customHeight="1" s="86">
      <c r="E2022" s="53" t="inlineStr">
        <is>
          <t>NY</t>
        </is>
      </c>
      <c r="F2022" s="53" t="inlineStr">
        <is>
          <t>ONTARIO</t>
        </is>
      </c>
      <c r="G2022" s="59" t="n"/>
      <c r="X2022" s="61" t="n"/>
      <c r="Y2022" s="61" t="n"/>
    </row>
    <row r="2023" ht="14.25" customHeight="1" s="86">
      <c r="E2023" s="53" t="inlineStr">
        <is>
          <t>NY</t>
        </is>
      </c>
      <c r="F2023" s="53" t="inlineStr">
        <is>
          <t>ORANGE</t>
        </is>
      </c>
      <c r="G2023" s="59" t="n"/>
      <c r="X2023" s="61" t="n"/>
      <c r="Y2023" s="61" t="n"/>
    </row>
    <row r="2024" ht="14.25" customHeight="1" s="86">
      <c r="E2024" s="53" t="inlineStr">
        <is>
          <t>NY</t>
        </is>
      </c>
      <c r="F2024" s="53" t="inlineStr">
        <is>
          <t>ORLEANS</t>
        </is>
      </c>
      <c r="G2024" s="59" t="n"/>
      <c r="X2024" s="61" t="n"/>
      <c r="Y2024" s="61" t="n"/>
    </row>
    <row r="2025" ht="14.25" customHeight="1" s="86">
      <c r="E2025" s="53" t="inlineStr">
        <is>
          <t>NY</t>
        </is>
      </c>
      <c r="F2025" s="53" t="inlineStr">
        <is>
          <t>OSWEGO</t>
        </is>
      </c>
      <c r="G2025" s="59" t="n"/>
      <c r="X2025" s="61" t="n"/>
      <c r="Y2025" s="61" t="n"/>
    </row>
    <row r="2026" ht="14.25" customHeight="1" s="86">
      <c r="E2026" s="53" t="inlineStr">
        <is>
          <t>NY</t>
        </is>
      </c>
      <c r="F2026" s="53" t="inlineStr">
        <is>
          <t>OTSEGO</t>
        </is>
      </c>
      <c r="G2026" s="59" t="n"/>
      <c r="X2026" s="61" t="n"/>
      <c r="Y2026" s="61" t="n"/>
    </row>
    <row r="2027" ht="14.25" customHeight="1" s="86">
      <c r="E2027" s="53" t="inlineStr">
        <is>
          <t>NY</t>
        </is>
      </c>
      <c r="F2027" s="53" t="inlineStr">
        <is>
          <t>PUTNAM</t>
        </is>
      </c>
      <c r="G2027" s="59" t="n"/>
      <c r="X2027" s="61" t="n"/>
      <c r="Y2027" s="61" t="n"/>
    </row>
    <row r="2028" ht="14.25" customHeight="1" s="86">
      <c r="E2028" s="53" t="inlineStr">
        <is>
          <t>NY</t>
        </is>
      </c>
      <c r="F2028" s="53" t="inlineStr">
        <is>
          <t>QUEENS</t>
        </is>
      </c>
      <c r="G2028" s="59" t="n"/>
      <c r="X2028" s="61" t="n"/>
      <c r="Y2028" s="61" t="n"/>
    </row>
    <row r="2029" ht="14.25" customHeight="1" s="86">
      <c r="E2029" s="53" t="inlineStr">
        <is>
          <t>NY</t>
        </is>
      </c>
      <c r="F2029" s="53" t="inlineStr">
        <is>
          <t>RENSSELAER</t>
        </is>
      </c>
      <c r="G2029" s="59" t="n"/>
      <c r="X2029" s="61" t="n"/>
      <c r="Y2029" s="61" t="n"/>
    </row>
    <row r="2030" ht="14.25" customHeight="1" s="86">
      <c r="E2030" s="53" t="inlineStr">
        <is>
          <t>NY</t>
        </is>
      </c>
      <c r="F2030" s="53" t="inlineStr">
        <is>
          <t>RICHMOND</t>
        </is>
      </c>
      <c r="G2030" s="59" t="n"/>
      <c r="X2030" s="61" t="n"/>
      <c r="Y2030" s="61" t="n"/>
    </row>
    <row r="2031" ht="14.25" customHeight="1" s="86">
      <c r="E2031" s="53" t="inlineStr">
        <is>
          <t>NY</t>
        </is>
      </c>
      <c r="F2031" s="53" t="inlineStr">
        <is>
          <t>ROCKLAND</t>
        </is>
      </c>
      <c r="G2031" s="59" t="n"/>
      <c r="X2031" s="61" t="n"/>
      <c r="Y2031" s="61" t="n"/>
    </row>
    <row r="2032" ht="14.25" customHeight="1" s="86">
      <c r="E2032" s="53" t="inlineStr">
        <is>
          <t>NY</t>
        </is>
      </c>
      <c r="F2032" s="53" t="inlineStr">
        <is>
          <t>SAINT LAWRENCE</t>
        </is>
      </c>
      <c r="G2032" s="59" t="n"/>
      <c r="X2032" s="61" t="n"/>
      <c r="Y2032" s="61" t="n"/>
    </row>
    <row r="2033" ht="14.25" customHeight="1" s="86">
      <c r="E2033" s="53" t="inlineStr">
        <is>
          <t>NY</t>
        </is>
      </c>
      <c r="F2033" s="53" t="inlineStr">
        <is>
          <t>SARATOGA</t>
        </is>
      </c>
      <c r="G2033" s="59" t="n"/>
      <c r="X2033" s="61" t="n"/>
      <c r="Y2033" s="61" t="n"/>
    </row>
    <row r="2034" ht="14.25" customHeight="1" s="86">
      <c r="E2034" s="53" t="inlineStr">
        <is>
          <t>NY</t>
        </is>
      </c>
      <c r="F2034" s="53" t="inlineStr">
        <is>
          <t>SCHENECTADY</t>
        </is>
      </c>
      <c r="G2034" s="59" t="n"/>
      <c r="X2034" s="61" t="n"/>
      <c r="Y2034" s="61" t="n"/>
    </row>
    <row r="2035" ht="14.25" customHeight="1" s="86">
      <c r="E2035" s="53" t="inlineStr">
        <is>
          <t>NY</t>
        </is>
      </c>
      <c r="F2035" s="53" t="inlineStr">
        <is>
          <t>SCHOHARIE</t>
        </is>
      </c>
      <c r="G2035" s="59" t="n"/>
      <c r="X2035" s="61" t="n"/>
      <c r="Y2035" s="61" t="n"/>
    </row>
    <row r="2036" ht="14.25" customHeight="1" s="86">
      <c r="E2036" s="53" t="inlineStr">
        <is>
          <t>NY</t>
        </is>
      </c>
      <c r="F2036" s="53" t="inlineStr">
        <is>
          <t>SCHUYLER</t>
        </is>
      </c>
      <c r="G2036" s="59" t="n"/>
      <c r="X2036" s="61" t="n"/>
      <c r="Y2036" s="61" t="n"/>
    </row>
    <row r="2037" ht="14.25" customHeight="1" s="86">
      <c r="E2037" s="53" t="inlineStr">
        <is>
          <t>NY</t>
        </is>
      </c>
      <c r="F2037" s="53" t="inlineStr">
        <is>
          <t>SENECA</t>
        </is>
      </c>
      <c r="G2037" s="59" t="n"/>
      <c r="X2037" s="61" t="n"/>
      <c r="Y2037" s="61" t="n"/>
    </row>
    <row r="2038" ht="14.25" customHeight="1" s="86">
      <c r="E2038" s="53" t="inlineStr">
        <is>
          <t>NY</t>
        </is>
      </c>
      <c r="F2038" s="53" t="inlineStr">
        <is>
          <t>STEUBEN</t>
        </is>
      </c>
      <c r="G2038" s="59" t="n"/>
      <c r="X2038" s="61" t="n"/>
      <c r="Y2038" s="61" t="n"/>
    </row>
    <row r="2039" ht="14.25" customHeight="1" s="86">
      <c r="E2039" s="53" t="inlineStr">
        <is>
          <t>NY</t>
        </is>
      </c>
      <c r="F2039" s="53" t="inlineStr">
        <is>
          <t>SUFFOLK</t>
        </is>
      </c>
      <c r="G2039" s="59" t="n"/>
      <c r="X2039" s="61" t="n"/>
      <c r="Y2039" s="61" t="n"/>
    </row>
    <row r="2040" ht="14.25" customHeight="1" s="86">
      <c r="E2040" s="53" t="inlineStr">
        <is>
          <t>NY</t>
        </is>
      </c>
      <c r="F2040" s="53" t="inlineStr">
        <is>
          <t>SULLIVAN</t>
        </is>
      </c>
      <c r="G2040" s="59" t="n"/>
      <c r="X2040" s="61" t="n"/>
      <c r="Y2040" s="61" t="n"/>
    </row>
    <row r="2041" ht="14.25" customHeight="1" s="86">
      <c r="E2041" s="53" t="inlineStr">
        <is>
          <t>NY</t>
        </is>
      </c>
      <c r="F2041" s="53" t="inlineStr">
        <is>
          <t>TIOGA</t>
        </is>
      </c>
      <c r="G2041" s="59" t="n"/>
      <c r="X2041" s="61" t="n"/>
      <c r="Y2041" s="61" t="n"/>
    </row>
    <row r="2042" ht="14.25" customHeight="1" s="86">
      <c r="E2042" s="53" t="inlineStr">
        <is>
          <t>NY</t>
        </is>
      </c>
      <c r="F2042" s="53" t="inlineStr">
        <is>
          <t>TOMPKINS</t>
        </is>
      </c>
      <c r="G2042" s="59" t="n"/>
      <c r="X2042" s="61" t="n"/>
      <c r="Y2042" s="61" t="n"/>
    </row>
    <row r="2043" ht="14.25" customHeight="1" s="86">
      <c r="E2043" s="53" t="inlineStr">
        <is>
          <t>NY</t>
        </is>
      </c>
      <c r="F2043" s="53" t="inlineStr">
        <is>
          <t>ULSTER</t>
        </is>
      </c>
      <c r="G2043" s="59" t="n"/>
      <c r="X2043" s="61" t="n"/>
      <c r="Y2043" s="61" t="n"/>
    </row>
    <row r="2044" ht="14.25" customHeight="1" s="86">
      <c r="E2044" s="53" t="inlineStr">
        <is>
          <t>NY</t>
        </is>
      </c>
      <c r="F2044" s="53" t="inlineStr">
        <is>
          <t>WARREN</t>
        </is>
      </c>
      <c r="G2044" s="59" t="n"/>
      <c r="X2044" s="61" t="n"/>
      <c r="Y2044" s="61" t="n"/>
    </row>
    <row r="2045" ht="14.25" customHeight="1" s="86">
      <c r="E2045" s="53" t="inlineStr">
        <is>
          <t>NY</t>
        </is>
      </c>
      <c r="F2045" s="53" t="inlineStr">
        <is>
          <t>WASHINGTON</t>
        </is>
      </c>
      <c r="G2045" s="59" t="n"/>
      <c r="X2045" s="61" t="n"/>
      <c r="Y2045" s="61" t="n"/>
    </row>
    <row r="2046" ht="14.25" customHeight="1" s="86">
      <c r="E2046" s="53" t="inlineStr">
        <is>
          <t>NY</t>
        </is>
      </c>
      <c r="F2046" s="53" t="inlineStr">
        <is>
          <t>WAYNE</t>
        </is>
      </c>
      <c r="G2046" s="59" t="n"/>
      <c r="X2046" s="61" t="n"/>
      <c r="Y2046" s="61" t="n"/>
    </row>
    <row r="2047" ht="14.25" customHeight="1" s="86">
      <c r="E2047" s="53" t="inlineStr">
        <is>
          <t>NY</t>
        </is>
      </c>
      <c r="F2047" s="53" t="inlineStr">
        <is>
          <t>WESTCHESTER</t>
        </is>
      </c>
      <c r="G2047" s="59" t="n"/>
      <c r="X2047" s="61" t="n"/>
      <c r="Y2047" s="61" t="n"/>
    </row>
    <row r="2048" ht="14.25" customHeight="1" s="86">
      <c r="E2048" s="53" t="inlineStr">
        <is>
          <t>NY</t>
        </is>
      </c>
      <c r="F2048" s="53" t="inlineStr">
        <is>
          <t>WYOMING</t>
        </is>
      </c>
      <c r="G2048" s="59" t="n"/>
      <c r="X2048" s="61" t="n"/>
      <c r="Y2048" s="61" t="n"/>
    </row>
    <row r="2049" ht="14.25" customHeight="1" s="86">
      <c r="E2049" s="53" t="inlineStr">
        <is>
          <t>NY</t>
        </is>
      </c>
      <c r="F2049" s="53" t="inlineStr">
        <is>
          <t>YATES</t>
        </is>
      </c>
      <c r="G2049" s="59" t="n"/>
      <c r="X2049" s="61" t="n"/>
      <c r="Y2049" s="61" t="n"/>
    </row>
    <row r="2050" ht="14.25" customHeight="1" s="86">
      <c r="E2050" s="53" t="inlineStr">
        <is>
          <t>OH</t>
        </is>
      </c>
      <c r="F2050" s="53" t="inlineStr">
        <is>
          <t>ADAMS</t>
        </is>
      </c>
      <c r="G2050" s="59" t="n"/>
      <c r="X2050" s="61" t="n"/>
      <c r="Y2050" s="61" t="n"/>
    </row>
    <row r="2051" ht="14.25" customHeight="1" s="86">
      <c r="E2051" s="53" t="inlineStr">
        <is>
          <t>OH</t>
        </is>
      </c>
      <c r="F2051" s="53" t="inlineStr">
        <is>
          <t>ALLEN</t>
        </is>
      </c>
      <c r="G2051" s="59" t="n"/>
      <c r="X2051" s="61" t="n"/>
      <c r="Y2051" s="61" t="n"/>
    </row>
    <row r="2052" ht="14.25" customHeight="1" s="86">
      <c r="E2052" s="53" t="inlineStr">
        <is>
          <t>OH</t>
        </is>
      </c>
      <c r="F2052" s="53" t="inlineStr">
        <is>
          <t>ASHLAND</t>
        </is>
      </c>
      <c r="G2052" s="59" t="n"/>
      <c r="X2052" s="61" t="n"/>
      <c r="Y2052" s="61" t="n"/>
    </row>
    <row r="2053" ht="14.25" customHeight="1" s="86">
      <c r="E2053" s="53" t="inlineStr">
        <is>
          <t>OH</t>
        </is>
      </c>
      <c r="F2053" s="53" t="inlineStr">
        <is>
          <t>ASHTABULA</t>
        </is>
      </c>
      <c r="G2053" s="59" t="n"/>
      <c r="X2053" s="61" t="n"/>
      <c r="Y2053" s="61" t="n"/>
    </row>
    <row r="2054" ht="14.25" customHeight="1" s="86">
      <c r="E2054" s="53" t="inlineStr">
        <is>
          <t>OH</t>
        </is>
      </c>
      <c r="F2054" s="53" t="inlineStr">
        <is>
          <t>ATHENS</t>
        </is>
      </c>
      <c r="G2054" s="59" t="n"/>
      <c r="X2054" s="61" t="n"/>
      <c r="Y2054" s="61" t="n"/>
    </row>
    <row r="2055" ht="14.25" customHeight="1" s="86">
      <c r="E2055" s="53" t="inlineStr">
        <is>
          <t>OH</t>
        </is>
      </c>
      <c r="F2055" s="53" t="inlineStr">
        <is>
          <t>AUGLAIZE</t>
        </is>
      </c>
      <c r="G2055" s="59" t="n"/>
      <c r="X2055" s="61" t="n"/>
      <c r="Y2055" s="61" t="n"/>
    </row>
    <row r="2056" ht="14.25" customHeight="1" s="86">
      <c r="E2056" s="53" t="inlineStr">
        <is>
          <t>OH</t>
        </is>
      </c>
      <c r="F2056" s="53" t="inlineStr">
        <is>
          <t>BELMONT</t>
        </is>
      </c>
      <c r="G2056" s="59" t="n"/>
      <c r="X2056" s="61" t="n"/>
      <c r="Y2056" s="61" t="n"/>
    </row>
    <row r="2057" ht="14.25" customHeight="1" s="86">
      <c r="E2057" s="53" t="inlineStr">
        <is>
          <t>OH</t>
        </is>
      </c>
      <c r="F2057" s="53" t="inlineStr">
        <is>
          <t>BROWN</t>
        </is>
      </c>
      <c r="G2057" s="59" t="n"/>
      <c r="X2057" s="61" t="n"/>
      <c r="Y2057" s="61" t="n"/>
    </row>
    <row r="2058" ht="14.25" customHeight="1" s="86">
      <c r="E2058" s="53" t="inlineStr">
        <is>
          <t>OH</t>
        </is>
      </c>
      <c r="F2058" s="53" t="inlineStr">
        <is>
          <t>BUTLER</t>
        </is>
      </c>
      <c r="G2058" s="59" t="n"/>
      <c r="X2058" s="61" t="n"/>
      <c r="Y2058" s="61" t="n"/>
    </row>
    <row r="2059" ht="14.25" customHeight="1" s="86">
      <c r="E2059" s="53" t="inlineStr">
        <is>
          <t>OH</t>
        </is>
      </c>
      <c r="F2059" s="53" t="inlineStr">
        <is>
          <t>CARROLL</t>
        </is>
      </c>
      <c r="G2059" s="59" t="n"/>
      <c r="X2059" s="61" t="n"/>
      <c r="Y2059" s="61" t="n"/>
    </row>
    <row r="2060" ht="14.25" customHeight="1" s="86">
      <c r="E2060" s="53" t="inlineStr">
        <is>
          <t>OH</t>
        </is>
      </c>
      <c r="F2060" s="53" t="inlineStr">
        <is>
          <t>CHAMPAIGN</t>
        </is>
      </c>
      <c r="G2060" s="59" t="n"/>
      <c r="X2060" s="61" t="n"/>
      <c r="Y2060" s="61" t="n"/>
    </row>
    <row r="2061" ht="14.25" customHeight="1" s="86">
      <c r="E2061" s="53" t="inlineStr">
        <is>
          <t>OH</t>
        </is>
      </c>
      <c r="F2061" s="53" t="inlineStr">
        <is>
          <t>CLARK</t>
        </is>
      </c>
      <c r="G2061" s="59" t="n"/>
      <c r="X2061" s="61" t="n"/>
      <c r="Y2061" s="61" t="n"/>
    </row>
    <row r="2062" ht="14.25" customHeight="1" s="86">
      <c r="E2062" s="53" t="inlineStr">
        <is>
          <t>OH</t>
        </is>
      </c>
      <c r="F2062" s="53" t="inlineStr">
        <is>
          <t>CLERMONT</t>
        </is>
      </c>
      <c r="G2062" s="59" t="n"/>
      <c r="X2062" s="61" t="n"/>
      <c r="Y2062" s="61" t="n"/>
    </row>
    <row r="2063" ht="14.25" customHeight="1" s="86">
      <c r="E2063" s="53" t="inlineStr">
        <is>
          <t>OH</t>
        </is>
      </c>
      <c r="F2063" s="53" t="inlineStr">
        <is>
          <t>CLINTON</t>
        </is>
      </c>
      <c r="G2063" s="59" t="n"/>
      <c r="X2063" s="61" t="n"/>
      <c r="Y2063" s="61" t="n"/>
    </row>
    <row r="2064" ht="14.25" customHeight="1" s="86">
      <c r="E2064" s="53" t="inlineStr">
        <is>
          <t>OH</t>
        </is>
      </c>
      <c r="F2064" s="53" t="inlineStr">
        <is>
          <t>COLUMBIANA</t>
        </is>
      </c>
      <c r="G2064" s="59" t="n"/>
      <c r="X2064" s="61" t="n"/>
      <c r="Y2064" s="61" t="n"/>
    </row>
    <row r="2065" ht="14.25" customHeight="1" s="86">
      <c r="E2065" s="53" t="inlineStr">
        <is>
          <t>OH</t>
        </is>
      </c>
      <c r="F2065" s="53" t="inlineStr">
        <is>
          <t>COSHOCTON</t>
        </is>
      </c>
      <c r="G2065" s="59" t="n"/>
      <c r="X2065" s="61" t="n"/>
      <c r="Y2065" s="61" t="n"/>
    </row>
    <row r="2066" ht="14.25" customHeight="1" s="86">
      <c r="E2066" s="53" t="inlineStr">
        <is>
          <t>OH</t>
        </is>
      </c>
      <c r="F2066" s="53" t="inlineStr">
        <is>
          <t>CRAWFORD</t>
        </is>
      </c>
      <c r="G2066" s="59" t="n"/>
      <c r="X2066" s="61" t="n"/>
      <c r="Y2066" s="61" t="n"/>
    </row>
    <row r="2067" ht="14.25" customHeight="1" s="86">
      <c r="E2067" s="53" t="inlineStr">
        <is>
          <t>OH</t>
        </is>
      </c>
      <c r="F2067" s="53" t="inlineStr">
        <is>
          <t>CUYAHOGA</t>
        </is>
      </c>
      <c r="G2067" s="59" t="n"/>
      <c r="X2067" s="61" t="n"/>
      <c r="Y2067" s="61" t="n"/>
    </row>
    <row r="2068" ht="14.25" customHeight="1" s="86">
      <c r="E2068" s="53" t="inlineStr">
        <is>
          <t>OH</t>
        </is>
      </c>
      <c r="F2068" s="53" t="inlineStr">
        <is>
          <t>DARKE</t>
        </is>
      </c>
      <c r="G2068" s="59" t="n"/>
      <c r="X2068" s="61" t="n"/>
      <c r="Y2068" s="61" t="n"/>
    </row>
    <row r="2069" ht="14.25" customHeight="1" s="86">
      <c r="E2069" s="53" t="inlineStr">
        <is>
          <t>OH</t>
        </is>
      </c>
      <c r="F2069" s="53" t="inlineStr">
        <is>
          <t>DEFIANCE</t>
        </is>
      </c>
      <c r="G2069" s="59" t="n"/>
      <c r="X2069" s="61" t="n"/>
      <c r="Y2069" s="61" t="n"/>
    </row>
    <row r="2070" ht="14.25" customHeight="1" s="86">
      <c r="E2070" s="53" t="inlineStr">
        <is>
          <t>OH</t>
        </is>
      </c>
      <c r="F2070" s="53" t="inlineStr">
        <is>
          <t>DELAWARE</t>
        </is>
      </c>
      <c r="G2070" s="59" t="n"/>
      <c r="X2070" s="61" t="n"/>
      <c r="Y2070" s="61" t="n"/>
    </row>
    <row r="2071" ht="14.25" customHeight="1" s="86">
      <c r="E2071" s="53" t="inlineStr">
        <is>
          <t>OH</t>
        </is>
      </c>
      <c r="F2071" s="53" t="inlineStr">
        <is>
          <t>ERIE</t>
        </is>
      </c>
      <c r="G2071" s="59" t="n"/>
      <c r="X2071" s="61" t="n"/>
      <c r="Y2071" s="61" t="n"/>
    </row>
    <row r="2072" ht="14.25" customHeight="1" s="86">
      <c r="E2072" s="53" t="inlineStr">
        <is>
          <t>OH</t>
        </is>
      </c>
      <c r="F2072" s="53" t="inlineStr">
        <is>
          <t>FAIRFIELD</t>
        </is>
      </c>
      <c r="G2072" s="59" t="n"/>
      <c r="X2072" s="61" t="n"/>
      <c r="Y2072" s="61" t="n"/>
    </row>
    <row r="2073" ht="14.25" customHeight="1" s="86">
      <c r="E2073" s="53" t="inlineStr">
        <is>
          <t>OH</t>
        </is>
      </c>
      <c r="F2073" s="53" t="inlineStr">
        <is>
          <t>FAYETTE</t>
        </is>
      </c>
      <c r="G2073" s="59" t="n"/>
      <c r="X2073" s="61" t="n"/>
      <c r="Y2073" s="61" t="n"/>
    </row>
    <row r="2074" ht="14.25" customHeight="1" s="86">
      <c r="E2074" s="53" t="inlineStr">
        <is>
          <t>OH</t>
        </is>
      </c>
      <c r="F2074" s="53" t="inlineStr">
        <is>
          <t>FRANKLIN</t>
        </is>
      </c>
      <c r="G2074" s="59" t="n"/>
      <c r="X2074" s="61" t="n"/>
      <c r="Y2074" s="61" t="n"/>
    </row>
    <row r="2075" ht="14.25" customHeight="1" s="86">
      <c r="E2075" s="53" t="inlineStr">
        <is>
          <t>OH</t>
        </is>
      </c>
      <c r="F2075" s="53" t="inlineStr">
        <is>
          <t>FULTON</t>
        </is>
      </c>
      <c r="G2075" s="59" t="n"/>
      <c r="X2075" s="61" t="n"/>
      <c r="Y2075" s="61" t="n"/>
    </row>
    <row r="2076" ht="14.25" customHeight="1" s="86">
      <c r="E2076" s="53" t="inlineStr">
        <is>
          <t>OH</t>
        </is>
      </c>
      <c r="F2076" s="53" t="inlineStr">
        <is>
          <t>GALLIA</t>
        </is>
      </c>
      <c r="G2076" s="59" t="n"/>
      <c r="X2076" s="61" t="n"/>
      <c r="Y2076" s="61" t="n"/>
    </row>
    <row r="2077" ht="14.25" customHeight="1" s="86">
      <c r="E2077" s="53" t="inlineStr">
        <is>
          <t>OH</t>
        </is>
      </c>
      <c r="F2077" s="53" t="inlineStr">
        <is>
          <t>GEAUGA</t>
        </is>
      </c>
      <c r="G2077" s="59" t="n"/>
      <c r="X2077" s="61" t="n"/>
      <c r="Y2077" s="61" t="n"/>
    </row>
    <row r="2078" ht="14.25" customHeight="1" s="86">
      <c r="E2078" s="53" t="inlineStr">
        <is>
          <t>OH</t>
        </is>
      </c>
      <c r="F2078" s="53" t="inlineStr">
        <is>
          <t>GREENE</t>
        </is>
      </c>
      <c r="G2078" s="59" t="n"/>
      <c r="X2078" s="61" t="n"/>
      <c r="Y2078" s="61" t="n"/>
    </row>
    <row r="2079" ht="14.25" customHeight="1" s="86">
      <c r="E2079" s="53" t="inlineStr">
        <is>
          <t>OH</t>
        </is>
      </c>
      <c r="F2079" s="53" t="inlineStr">
        <is>
          <t>GUERNSEY</t>
        </is>
      </c>
      <c r="G2079" s="59" t="n"/>
      <c r="X2079" s="61" t="n"/>
      <c r="Y2079" s="61" t="n"/>
    </row>
    <row r="2080" ht="14.25" customHeight="1" s="86">
      <c r="E2080" s="53" t="inlineStr">
        <is>
          <t>OH</t>
        </is>
      </c>
      <c r="F2080" s="53" t="inlineStr">
        <is>
          <t>HAMILTON</t>
        </is>
      </c>
      <c r="G2080" s="59" t="n"/>
      <c r="X2080" s="61" t="n"/>
      <c r="Y2080" s="61" t="n"/>
    </row>
    <row r="2081" ht="14.25" customHeight="1" s="86">
      <c r="E2081" s="53" t="inlineStr">
        <is>
          <t>OH</t>
        </is>
      </c>
      <c r="F2081" s="53" t="inlineStr">
        <is>
          <t>HANCOCK</t>
        </is>
      </c>
      <c r="G2081" s="59" t="n"/>
      <c r="X2081" s="61" t="n"/>
      <c r="Y2081" s="61" t="n"/>
    </row>
    <row r="2082" ht="14.25" customHeight="1" s="86">
      <c r="E2082" s="53" t="inlineStr">
        <is>
          <t>OH</t>
        </is>
      </c>
      <c r="F2082" s="53" t="inlineStr">
        <is>
          <t>HARDIN</t>
        </is>
      </c>
      <c r="G2082" s="59" t="n"/>
      <c r="X2082" s="61" t="n"/>
      <c r="Y2082" s="61" t="n"/>
    </row>
    <row r="2083" ht="14.25" customHeight="1" s="86">
      <c r="E2083" s="53" t="inlineStr">
        <is>
          <t>OH</t>
        </is>
      </c>
      <c r="F2083" s="53" t="inlineStr">
        <is>
          <t>HARRISON</t>
        </is>
      </c>
      <c r="G2083" s="59" t="n"/>
      <c r="X2083" s="61" t="n"/>
      <c r="Y2083" s="61" t="n"/>
    </row>
    <row r="2084" ht="14.25" customHeight="1" s="86">
      <c r="E2084" s="53" t="inlineStr">
        <is>
          <t>OH</t>
        </is>
      </c>
      <c r="F2084" s="53" t="inlineStr">
        <is>
          <t>HENRY</t>
        </is>
      </c>
      <c r="G2084" s="59" t="n"/>
      <c r="X2084" s="61" t="n"/>
      <c r="Y2084" s="61" t="n"/>
    </row>
    <row r="2085" ht="14.25" customHeight="1" s="86">
      <c r="E2085" s="53" t="inlineStr">
        <is>
          <t>OH</t>
        </is>
      </c>
      <c r="F2085" s="53" t="inlineStr">
        <is>
          <t>HIGHLAND</t>
        </is>
      </c>
      <c r="G2085" s="59" t="n"/>
      <c r="X2085" s="61" t="n"/>
      <c r="Y2085" s="61" t="n"/>
    </row>
    <row r="2086" ht="14.25" customHeight="1" s="86">
      <c r="E2086" s="53" t="inlineStr">
        <is>
          <t>OH</t>
        </is>
      </c>
      <c r="F2086" s="53" t="inlineStr">
        <is>
          <t>HOCKING</t>
        </is>
      </c>
      <c r="G2086" s="59" t="n"/>
      <c r="X2086" s="61" t="n"/>
      <c r="Y2086" s="61" t="n"/>
    </row>
    <row r="2087" ht="14.25" customHeight="1" s="86">
      <c r="E2087" s="53" t="inlineStr">
        <is>
          <t>OH</t>
        </is>
      </c>
      <c r="F2087" s="53" t="inlineStr">
        <is>
          <t>HOLMES</t>
        </is>
      </c>
      <c r="G2087" s="59" t="n"/>
      <c r="X2087" s="61" t="n"/>
      <c r="Y2087" s="61" t="n"/>
    </row>
    <row r="2088" ht="14.25" customHeight="1" s="86">
      <c r="E2088" s="53" t="inlineStr">
        <is>
          <t>OH</t>
        </is>
      </c>
      <c r="F2088" s="53" t="inlineStr">
        <is>
          <t>HURON</t>
        </is>
      </c>
      <c r="G2088" s="59" t="n"/>
      <c r="X2088" s="61" t="n"/>
      <c r="Y2088" s="61" t="n"/>
    </row>
    <row r="2089" ht="14.25" customHeight="1" s="86">
      <c r="E2089" s="53" t="inlineStr">
        <is>
          <t>OH</t>
        </is>
      </c>
      <c r="F2089" s="53" t="inlineStr">
        <is>
          <t>JACKSON</t>
        </is>
      </c>
      <c r="G2089" s="59" t="n"/>
      <c r="X2089" s="61" t="n"/>
      <c r="Y2089" s="61" t="n"/>
    </row>
    <row r="2090" ht="14.25" customHeight="1" s="86">
      <c r="E2090" s="53" t="inlineStr">
        <is>
          <t>OH</t>
        </is>
      </c>
      <c r="F2090" s="53" t="inlineStr">
        <is>
          <t>JEFFERSON</t>
        </is>
      </c>
      <c r="G2090" s="59" t="n"/>
      <c r="X2090" s="61" t="n"/>
      <c r="Y2090" s="61" t="n"/>
    </row>
    <row r="2091" ht="14.25" customHeight="1" s="86">
      <c r="E2091" s="53" t="inlineStr">
        <is>
          <t>OH</t>
        </is>
      </c>
      <c r="F2091" s="53" t="inlineStr">
        <is>
          <t>KNOX</t>
        </is>
      </c>
      <c r="G2091" s="59" t="n"/>
      <c r="X2091" s="61" t="n"/>
      <c r="Y2091" s="61" t="n"/>
    </row>
    <row r="2092" ht="14.25" customHeight="1" s="86">
      <c r="E2092" s="53" t="inlineStr">
        <is>
          <t>OH</t>
        </is>
      </c>
      <c r="F2092" s="53" t="inlineStr">
        <is>
          <t>LAKE</t>
        </is>
      </c>
      <c r="G2092" s="59" t="n"/>
      <c r="X2092" s="61" t="n"/>
      <c r="Y2092" s="61" t="n"/>
    </row>
    <row r="2093" ht="14.25" customHeight="1" s="86">
      <c r="E2093" s="53" t="inlineStr">
        <is>
          <t>OH</t>
        </is>
      </c>
      <c r="F2093" s="53" t="inlineStr">
        <is>
          <t>LAWRENCE</t>
        </is>
      </c>
      <c r="G2093" s="59" t="n"/>
      <c r="X2093" s="61" t="n"/>
      <c r="Y2093" s="61" t="n"/>
    </row>
    <row r="2094" ht="14.25" customHeight="1" s="86">
      <c r="E2094" s="53" t="inlineStr">
        <is>
          <t>OH</t>
        </is>
      </c>
      <c r="F2094" s="53" t="inlineStr">
        <is>
          <t>LICKING</t>
        </is>
      </c>
      <c r="G2094" s="59" t="n"/>
      <c r="X2094" s="61" t="n"/>
      <c r="Y2094" s="61" t="n"/>
    </row>
    <row r="2095" ht="14.25" customHeight="1" s="86">
      <c r="E2095" s="53" t="inlineStr">
        <is>
          <t>OH</t>
        </is>
      </c>
      <c r="F2095" s="53" t="inlineStr">
        <is>
          <t>LOGAN</t>
        </is>
      </c>
      <c r="G2095" s="59" t="n"/>
      <c r="X2095" s="61" t="n"/>
      <c r="Y2095" s="61" t="n"/>
    </row>
    <row r="2096" ht="14.25" customHeight="1" s="86">
      <c r="E2096" s="53" t="inlineStr">
        <is>
          <t>OH</t>
        </is>
      </c>
      <c r="F2096" s="53" t="inlineStr">
        <is>
          <t>LORAIN</t>
        </is>
      </c>
      <c r="G2096" s="59" t="n"/>
      <c r="X2096" s="61" t="n"/>
      <c r="Y2096" s="61" t="n"/>
    </row>
    <row r="2097" ht="14.25" customHeight="1" s="86">
      <c r="E2097" s="53" t="inlineStr">
        <is>
          <t>OH</t>
        </is>
      </c>
      <c r="F2097" s="53" t="inlineStr">
        <is>
          <t>LUCAS</t>
        </is>
      </c>
      <c r="G2097" s="59" t="n"/>
      <c r="X2097" s="61" t="n"/>
      <c r="Y2097" s="61" t="n"/>
    </row>
    <row r="2098" ht="14.25" customHeight="1" s="86">
      <c r="E2098" s="53" t="inlineStr">
        <is>
          <t>OH</t>
        </is>
      </c>
      <c r="F2098" s="53" t="inlineStr">
        <is>
          <t>MADISON</t>
        </is>
      </c>
      <c r="G2098" s="59" t="n"/>
      <c r="X2098" s="61" t="n"/>
      <c r="Y2098" s="61" t="n"/>
    </row>
    <row r="2099" ht="14.25" customHeight="1" s="86">
      <c r="E2099" s="53" t="inlineStr">
        <is>
          <t>OH</t>
        </is>
      </c>
      <c r="F2099" s="53" t="inlineStr">
        <is>
          <t>MAHONING</t>
        </is>
      </c>
      <c r="G2099" s="59" t="n"/>
      <c r="X2099" s="61" t="n"/>
      <c r="Y2099" s="61" t="n"/>
    </row>
    <row r="2100" ht="14.25" customHeight="1" s="86">
      <c r="E2100" s="53" t="inlineStr">
        <is>
          <t>OH</t>
        </is>
      </c>
      <c r="F2100" s="53" t="inlineStr">
        <is>
          <t>MARION</t>
        </is>
      </c>
      <c r="G2100" s="59" t="n"/>
      <c r="X2100" s="61" t="n"/>
      <c r="Y2100" s="61" t="n"/>
    </row>
    <row r="2101" ht="14.25" customHeight="1" s="86">
      <c r="E2101" s="53" t="inlineStr">
        <is>
          <t>OH</t>
        </is>
      </c>
      <c r="F2101" s="53" t="inlineStr">
        <is>
          <t>MEDINA</t>
        </is>
      </c>
      <c r="G2101" s="59" t="n"/>
      <c r="X2101" s="61" t="n"/>
      <c r="Y2101" s="61" t="n"/>
    </row>
    <row r="2102" ht="14.25" customHeight="1" s="86">
      <c r="E2102" s="53" t="inlineStr">
        <is>
          <t>OH</t>
        </is>
      </c>
      <c r="F2102" s="53" t="inlineStr">
        <is>
          <t>MEIGS</t>
        </is>
      </c>
      <c r="G2102" s="59" t="n"/>
      <c r="X2102" s="61" t="n"/>
      <c r="Y2102" s="61" t="n"/>
    </row>
    <row r="2103" ht="14.25" customHeight="1" s="86">
      <c r="E2103" s="53" t="inlineStr">
        <is>
          <t>OH</t>
        </is>
      </c>
      <c r="F2103" s="53" t="inlineStr">
        <is>
          <t>MERCER</t>
        </is>
      </c>
      <c r="G2103" s="59" t="n"/>
      <c r="X2103" s="61" t="n"/>
      <c r="Y2103" s="61" t="n"/>
    </row>
    <row r="2104" ht="14.25" customHeight="1" s="86">
      <c r="E2104" s="53" t="inlineStr">
        <is>
          <t>OH</t>
        </is>
      </c>
      <c r="F2104" s="53" t="inlineStr">
        <is>
          <t>MIAMI</t>
        </is>
      </c>
      <c r="G2104" s="59" t="n"/>
      <c r="X2104" s="61" t="n"/>
      <c r="Y2104" s="61" t="n"/>
    </row>
    <row r="2105" ht="14.25" customHeight="1" s="86">
      <c r="E2105" s="53" t="inlineStr">
        <is>
          <t>OH</t>
        </is>
      </c>
      <c r="F2105" s="53" t="inlineStr">
        <is>
          <t>MONROE</t>
        </is>
      </c>
      <c r="G2105" s="59" t="n"/>
      <c r="X2105" s="61" t="n"/>
      <c r="Y2105" s="61" t="n"/>
    </row>
    <row r="2106" ht="14.25" customHeight="1" s="86">
      <c r="E2106" s="53" t="inlineStr">
        <is>
          <t>OH</t>
        </is>
      </c>
      <c r="F2106" s="53" t="inlineStr">
        <is>
          <t>MONTGOMERY</t>
        </is>
      </c>
      <c r="G2106" s="59" t="n"/>
      <c r="X2106" s="61" t="n"/>
      <c r="Y2106" s="61" t="n"/>
    </row>
    <row r="2107" ht="14.25" customHeight="1" s="86">
      <c r="E2107" s="53" t="inlineStr">
        <is>
          <t>OH</t>
        </is>
      </c>
      <c r="F2107" s="53" t="inlineStr">
        <is>
          <t>MORGAN</t>
        </is>
      </c>
      <c r="G2107" s="59" t="n"/>
      <c r="X2107" s="61" t="n"/>
      <c r="Y2107" s="61" t="n"/>
    </row>
    <row r="2108" ht="14.25" customHeight="1" s="86">
      <c r="E2108" s="53" t="inlineStr">
        <is>
          <t>OH</t>
        </is>
      </c>
      <c r="F2108" s="53" t="inlineStr">
        <is>
          <t>MORROW</t>
        </is>
      </c>
      <c r="G2108" s="59" t="n"/>
      <c r="X2108" s="61" t="n"/>
      <c r="Y2108" s="61" t="n"/>
    </row>
    <row r="2109" ht="14.25" customHeight="1" s="86">
      <c r="E2109" s="53" t="inlineStr">
        <is>
          <t>OH</t>
        </is>
      </c>
      <c r="F2109" s="53" t="inlineStr">
        <is>
          <t>MUSKINGUM</t>
        </is>
      </c>
      <c r="G2109" s="59" t="n"/>
      <c r="X2109" s="61" t="n"/>
      <c r="Y2109" s="61" t="n"/>
    </row>
    <row r="2110" ht="14.25" customHeight="1" s="86">
      <c r="E2110" s="53" t="inlineStr">
        <is>
          <t>OH</t>
        </is>
      </c>
      <c r="F2110" s="53" t="inlineStr">
        <is>
          <t>NOBLE</t>
        </is>
      </c>
      <c r="G2110" s="59" t="n"/>
      <c r="X2110" s="61" t="n"/>
      <c r="Y2110" s="61" t="n"/>
    </row>
    <row r="2111" ht="14.25" customHeight="1" s="86">
      <c r="E2111" s="53" t="inlineStr">
        <is>
          <t>OH</t>
        </is>
      </c>
      <c r="F2111" s="53" t="inlineStr">
        <is>
          <t>OTTAWA</t>
        </is>
      </c>
      <c r="G2111" s="59" t="n"/>
      <c r="X2111" s="61" t="n"/>
      <c r="Y2111" s="61" t="n"/>
    </row>
    <row r="2112" ht="14.25" customHeight="1" s="86">
      <c r="E2112" s="53" t="inlineStr">
        <is>
          <t>OH</t>
        </is>
      </c>
      <c r="F2112" s="53" t="inlineStr">
        <is>
          <t>PAULDING</t>
        </is>
      </c>
      <c r="G2112" s="59" t="n"/>
      <c r="X2112" s="61" t="n"/>
      <c r="Y2112" s="61" t="n"/>
    </row>
    <row r="2113" ht="14.25" customHeight="1" s="86">
      <c r="E2113" s="53" t="inlineStr">
        <is>
          <t>OH</t>
        </is>
      </c>
      <c r="F2113" s="53" t="inlineStr">
        <is>
          <t>PERRY</t>
        </is>
      </c>
      <c r="G2113" s="59" t="n"/>
      <c r="X2113" s="61" t="n"/>
      <c r="Y2113" s="61" t="n"/>
    </row>
    <row r="2114" ht="14.25" customHeight="1" s="86">
      <c r="E2114" s="53" t="inlineStr">
        <is>
          <t>OH</t>
        </is>
      </c>
      <c r="F2114" s="53" t="inlineStr">
        <is>
          <t>PICKAWAY</t>
        </is>
      </c>
      <c r="G2114" s="59" t="n"/>
      <c r="X2114" s="61" t="n"/>
      <c r="Y2114" s="61" t="n"/>
    </row>
    <row r="2115" ht="14.25" customHeight="1" s="86">
      <c r="E2115" s="53" t="inlineStr">
        <is>
          <t>OH</t>
        </is>
      </c>
      <c r="F2115" s="53" t="inlineStr">
        <is>
          <t>PIKE</t>
        </is>
      </c>
      <c r="G2115" s="59" t="n"/>
      <c r="X2115" s="61" t="n"/>
      <c r="Y2115" s="61" t="n"/>
    </row>
    <row r="2116" ht="14.25" customHeight="1" s="86">
      <c r="E2116" s="53" t="inlineStr">
        <is>
          <t>OH</t>
        </is>
      </c>
      <c r="F2116" s="53" t="inlineStr">
        <is>
          <t>PORTAGE</t>
        </is>
      </c>
      <c r="G2116" s="59" t="n"/>
      <c r="X2116" s="61" t="n"/>
      <c r="Y2116" s="61" t="n"/>
    </row>
    <row r="2117" ht="14.25" customHeight="1" s="86">
      <c r="E2117" s="53" t="inlineStr">
        <is>
          <t>OH</t>
        </is>
      </c>
      <c r="F2117" s="53" t="inlineStr">
        <is>
          <t>PREBLE</t>
        </is>
      </c>
      <c r="G2117" s="59" t="n"/>
      <c r="X2117" s="61" t="n"/>
      <c r="Y2117" s="61" t="n"/>
    </row>
    <row r="2118" ht="14.25" customHeight="1" s="86">
      <c r="E2118" s="53" t="inlineStr">
        <is>
          <t>OH</t>
        </is>
      </c>
      <c r="F2118" s="53" t="inlineStr">
        <is>
          <t>PUTNAM</t>
        </is>
      </c>
      <c r="G2118" s="59" t="n"/>
      <c r="X2118" s="61" t="n"/>
      <c r="Y2118" s="61" t="n"/>
    </row>
    <row r="2119" ht="14.25" customHeight="1" s="86">
      <c r="E2119" s="53" t="inlineStr">
        <is>
          <t>OH</t>
        </is>
      </c>
      <c r="F2119" s="53" t="inlineStr">
        <is>
          <t>RICHLAND</t>
        </is>
      </c>
      <c r="G2119" s="59" t="n"/>
      <c r="X2119" s="61" t="n"/>
      <c r="Y2119" s="61" t="n"/>
    </row>
    <row r="2120" ht="14.25" customHeight="1" s="86">
      <c r="E2120" s="53" t="inlineStr">
        <is>
          <t>OH</t>
        </is>
      </c>
      <c r="F2120" s="53" t="inlineStr">
        <is>
          <t>ROSS</t>
        </is>
      </c>
      <c r="G2120" s="59" t="n"/>
      <c r="X2120" s="61" t="n"/>
      <c r="Y2120" s="61" t="n"/>
    </row>
    <row r="2121" ht="14.25" customHeight="1" s="86">
      <c r="E2121" s="53" t="inlineStr">
        <is>
          <t>OH</t>
        </is>
      </c>
      <c r="F2121" s="53" t="inlineStr">
        <is>
          <t>SANDUSKY</t>
        </is>
      </c>
      <c r="G2121" s="59" t="n"/>
      <c r="X2121" s="61" t="n"/>
      <c r="Y2121" s="61" t="n"/>
    </row>
    <row r="2122" ht="14.25" customHeight="1" s="86">
      <c r="E2122" s="53" t="inlineStr">
        <is>
          <t>OH</t>
        </is>
      </c>
      <c r="F2122" s="53" t="inlineStr">
        <is>
          <t>SCIOTO</t>
        </is>
      </c>
      <c r="G2122" s="59" t="n"/>
      <c r="X2122" s="61" t="n"/>
      <c r="Y2122" s="61" t="n"/>
    </row>
    <row r="2123" ht="14.25" customHeight="1" s="86">
      <c r="E2123" s="53" t="inlineStr">
        <is>
          <t>OH</t>
        </is>
      </c>
      <c r="F2123" s="53" t="inlineStr">
        <is>
          <t>SENECA</t>
        </is>
      </c>
      <c r="G2123" s="59" t="n"/>
      <c r="X2123" s="61" t="n"/>
      <c r="Y2123" s="61" t="n"/>
    </row>
    <row r="2124" ht="14.25" customHeight="1" s="86">
      <c r="E2124" s="53" t="inlineStr">
        <is>
          <t>OH</t>
        </is>
      </c>
      <c r="F2124" s="53" t="inlineStr">
        <is>
          <t>SHELBY</t>
        </is>
      </c>
      <c r="G2124" s="59" t="n"/>
      <c r="X2124" s="61" t="n"/>
      <c r="Y2124" s="61" t="n"/>
    </row>
    <row r="2125" ht="14.25" customHeight="1" s="86">
      <c r="E2125" s="53" t="inlineStr">
        <is>
          <t>OH</t>
        </is>
      </c>
      <c r="F2125" s="53" t="inlineStr">
        <is>
          <t>STARK</t>
        </is>
      </c>
      <c r="G2125" s="59" t="n"/>
      <c r="X2125" s="61" t="n"/>
      <c r="Y2125" s="61" t="n"/>
    </row>
    <row r="2126" ht="14.25" customHeight="1" s="86">
      <c r="E2126" s="53" t="inlineStr">
        <is>
          <t>OH</t>
        </is>
      </c>
      <c r="F2126" s="53" t="inlineStr">
        <is>
          <t>SUMMIT</t>
        </is>
      </c>
      <c r="G2126" s="59" t="n"/>
      <c r="X2126" s="61" t="n"/>
      <c r="Y2126" s="61" t="n"/>
    </row>
    <row r="2127" ht="14.25" customHeight="1" s="86">
      <c r="E2127" s="53" t="inlineStr">
        <is>
          <t>OH</t>
        </is>
      </c>
      <c r="F2127" s="53" t="inlineStr">
        <is>
          <t>TRUMBULL</t>
        </is>
      </c>
      <c r="G2127" s="59" t="n"/>
      <c r="X2127" s="61" t="n"/>
      <c r="Y2127" s="61" t="n"/>
    </row>
    <row r="2128" ht="14.25" customHeight="1" s="86">
      <c r="E2128" s="53" t="inlineStr">
        <is>
          <t>OH</t>
        </is>
      </c>
      <c r="F2128" s="53" t="inlineStr">
        <is>
          <t>TUSCARAWAS</t>
        </is>
      </c>
      <c r="G2128" s="59" t="n"/>
      <c r="X2128" s="61" t="n"/>
      <c r="Y2128" s="61" t="n"/>
    </row>
    <row r="2129" ht="14.25" customHeight="1" s="86">
      <c r="E2129" s="53" t="inlineStr">
        <is>
          <t>OH</t>
        </is>
      </c>
      <c r="F2129" s="53" t="inlineStr">
        <is>
          <t>UNION</t>
        </is>
      </c>
      <c r="G2129" s="59" t="n"/>
      <c r="X2129" s="61" t="n"/>
      <c r="Y2129" s="61" t="n"/>
    </row>
    <row r="2130" ht="14.25" customHeight="1" s="86">
      <c r="E2130" s="53" t="inlineStr">
        <is>
          <t>OH</t>
        </is>
      </c>
      <c r="F2130" s="53" t="inlineStr">
        <is>
          <t>VAN WERT</t>
        </is>
      </c>
      <c r="G2130" s="59" t="n"/>
      <c r="X2130" s="61" t="n"/>
      <c r="Y2130" s="61" t="n"/>
    </row>
    <row r="2131" ht="14.25" customHeight="1" s="86">
      <c r="E2131" s="53" t="inlineStr">
        <is>
          <t>OH</t>
        </is>
      </c>
      <c r="F2131" s="53" t="inlineStr">
        <is>
          <t>VINTON</t>
        </is>
      </c>
      <c r="G2131" s="59" t="n"/>
      <c r="X2131" s="61" t="n"/>
      <c r="Y2131" s="61" t="n"/>
    </row>
    <row r="2132" ht="14.25" customHeight="1" s="86">
      <c r="E2132" s="53" t="inlineStr">
        <is>
          <t>OH</t>
        </is>
      </c>
      <c r="F2132" s="53" t="inlineStr">
        <is>
          <t>WARREN</t>
        </is>
      </c>
      <c r="G2132" s="59" t="n"/>
      <c r="X2132" s="61" t="n"/>
      <c r="Y2132" s="61" t="n"/>
    </row>
    <row r="2133" ht="14.25" customHeight="1" s="86">
      <c r="E2133" s="53" t="inlineStr">
        <is>
          <t>OH</t>
        </is>
      </c>
      <c r="F2133" s="53" t="inlineStr">
        <is>
          <t>WASHINGTON</t>
        </is>
      </c>
      <c r="G2133" s="59" t="n"/>
      <c r="X2133" s="61" t="n"/>
      <c r="Y2133" s="61" t="n"/>
    </row>
    <row r="2134" ht="14.25" customHeight="1" s="86">
      <c r="E2134" s="53" t="inlineStr">
        <is>
          <t>OH</t>
        </is>
      </c>
      <c r="F2134" s="53" t="inlineStr">
        <is>
          <t>WAYNE</t>
        </is>
      </c>
      <c r="G2134" s="59" t="n"/>
      <c r="X2134" s="61" t="n"/>
      <c r="Y2134" s="61" t="n"/>
    </row>
    <row r="2135" ht="14.25" customHeight="1" s="86">
      <c r="E2135" s="53" t="inlineStr">
        <is>
          <t>OH</t>
        </is>
      </c>
      <c r="F2135" s="53" t="inlineStr">
        <is>
          <t>WILLIAMS</t>
        </is>
      </c>
      <c r="G2135" s="59" t="n"/>
      <c r="X2135" s="61" t="n"/>
      <c r="Y2135" s="61" t="n"/>
    </row>
    <row r="2136" ht="14.25" customHeight="1" s="86">
      <c r="E2136" s="53" t="inlineStr">
        <is>
          <t>OH</t>
        </is>
      </c>
      <c r="F2136" s="53" t="inlineStr">
        <is>
          <t>WOOD</t>
        </is>
      </c>
      <c r="G2136" s="59" t="n"/>
      <c r="X2136" s="61" t="n"/>
      <c r="Y2136" s="61" t="n"/>
    </row>
    <row r="2137" ht="14.25" customHeight="1" s="86">
      <c r="E2137" s="53" t="inlineStr">
        <is>
          <t>OH</t>
        </is>
      </c>
      <c r="F2137" s="53" t="inlineStr">
        <is>
          <t>WYANDOT</t>
        </is>
      </c>
      <c r="G2137" s="59" t="n"/>
      <c r="X2137" s="61" t="n"/>
      <c r="Y2137" s="61" t="n"/>
    </row>
    <row r="2138" ht="14.25" customHeight="1" s="86">
      <c r="E2138" s="53" t="inlineStr">
        <is>
          <t>OK</t>
        </is>
      </c>
      <c r="F2138" s="53" t="inlineStr">
        <is>
          <t>ADAIR</t>
        </is>
      </c>
      <c r="G2138" s="59" t="n"/>
      <c r="X2138" s="61" t="n"/>
      <c r="Y2138" s="61" t="n"/>
    </row>
    <row r="2139" ht="14.25" customHeight="1" s="86">
      <c r="E2139" s="53" t="inlineStr">
        <is>
          <t>OK</t>
        </is>
      </c>
      <c r="F2139" s="53" t="inlineStr">
        <is>
          <t>ALFALFA</t>
        </is>
      </c>
      <c r="G2139" s="59" t="n"/>
      <c r="X2139" s="61" t="n"/>
      <c r="Y2139" s="61" t="n"/>
    </row>
    <row r="2140" ht="14.25" customHeight="1" s="86">
      <c r="E2140" s="53" t="inlineStr">
        <is>
          <t>OK</t>
        </is>
      </c>
      <c r="F2140" s="53" t="inlineStr">
        <is>
          <t>ATOKA</t>
        </is>
      </c>
      <c r="G2140" s="59" t="n"/>
      <c r="X2140" s="61" t="n"/>
      <c r="Y2140" s="61" t="n"/>
    </row>
    <row r="2141" ht="14.25" customHeight="1" s="86">
      <c r="E2141" s="53" t="inlineStr">
        <is>
          <t>OK</t>
        </is>
      </c>
      <c r="F2141" s="53" t="inlineStr">
        <is>
          <t>BEAVER</t>
        </is>
      </c>
      <c r="G2141" s="59" t="n"/>
      <c r="X2141" s="61" t="n"/>
      <c r="Y2141" s="61" t="n"/>
    </row>
    <row r="2142" ht="14.25" customHeight="1" s="86">
      <c r="E2142" s="53" t="inlineStr">
        <is>
          <t>OK</t>
        </is>
      </c>
      <c r="F2142" s="53" t="inlineStr">
        <is>
          <t>BECKHAM</t>
        </is>
      </c>
      <c r="G2142" s="59" t="n"/>
      <c r="X2142" s="61" t="n"/>
      <c r="Y2142" s="61" t="n"/>
    </row>
    <row r="2143" ht="14.25" customHeight="1" s="86">
      <c r="E2143" s="53" t="inlineStr">
        <is>
          <t>OK</t>
        </is>
      </c>
      <c r="F2143" s="53" t="inlineStr">
        <is>
          <t>BLAINE</t>
        </is>
      </c>
      <c r="G2143" s="59" t="n"/>
      <c r="X2143" s="61" t="n"/>
      <c r="Y2143" s="61" t="n"/>
    </row>
    <row r="2144" ht="14.25" customHeight="1" s="86">
      <c r="E2144" s="53" t="inlineStr">
        <is>
          <t>OK</t>
        </is>
      </c>
      <c r="F2144" s="53" t="inlineStr">
        <is>
          <t>BRYAN</t>
        </is>
      </c>
      <c r="G2144" s="59" t="n"/>
      <c r="X2144" s="61" t="n"/>
      <c r="Y2144" s="61" t="n"/>
    </row>
    <row r="2145" ht="14.25" customHeight="1" s="86">
      <c r="E2145" s="53" t="inlineStr">
        <is>
          <t>OK</t>
        </is>
      </c>
      <c r="F2145" s="53" t="inlineStr">
        <is>
          <t>CADDO</t>
        </is>
      </c>
      <c r="G2145" s="59" t="n"/>
      <c r="X2145" s="61" t="n"/>
      <c r="Y2145" s="61" t="n"/>
    </row>
    <row r="2146" ht="14.25" customHeight="1" s="86">
      <c r="E2146" s="53" t="inlineStr">
        <is>
          <t>OK</t>
        </is>
      </c>
      <c r="F2146" s="53" t="inlineStr">
        <is>
          <t>CANADIAN</t>
        </is>
      </c>
      <c r="G2146" s="59" t="n"/>
      <c r="X2146" s="61" t="n"/>
      <c r="Y2146" s="61" t="n"/>
    </row>
    <row r="2147" ht="14.25" customHeight="1" s="86">
      <c r="E2147" s="53" t="inlineStr">
        <is>
          <t>OK</t>
        </is>
      </c>
      <c r="F2147" s="53" t="inlineStr">
        <is>
          <t>CARTER</t>
        </is>
      </c>
      <c r="G2147" s="59" t="n"/>
      <c r="X2147" s="61" t="n"/>
      <c r="Y2147" s="61" t="n"/>
    </row>
    <row r="2148" ht="14.25" customHeight="1" s="86">
      <c r="E2148" s="53" t="inlineStr">
        <is>
          <t>OK</t>
        </is>
      </c>
      <c r="F2148" s="53" t="inlineStr">
        <is>
          <t>CHEROKEE</t>
        </is>
      </c>
      <c r="G2148" s="59" t="n"/>
      <c r="X2148" s="61" t="n"/>
      <c r="Y2148" s="61" t="n"/>
    </row>
    <row r="2149" ht="14.25" customHeight="1" s="86">
      <c r="E2149" s="53" t="inlineStr">
        <is>
          <t>OK</t>
        </is>
      </c>
      <c r="F2149" s="53" t="inlineStr">
        <is>
          <t>CHOCTAW</t>
        </is>
      </c>
      <c r="G2149" s="59" t="n"/>
      <c r="X2149" s="61" t="n"/>
      <c r="Y2149" s="61" t="n"/>
    </row>
    <row r="2150" ht="14.25" customHeight="1" s="86">
      <c r="E2150" s="53" t="inlineStr">
        <is>
          <t>OK</t>
        </is>
      </c>
      <c r="F2150" s="53" t="inlineStr">
        <is>
          <t>CIMARRON</t>
        </is>
      </c>
      <c r="G2150" s="59" t="n"/>
      <c r="X2150" s="61" t="n"/>
      <c r="Y2150" s="61" t="n"/>
    </row>
    <row r="2151" ht="14.25" customHeight="1" s="86">
      <c r="E2151" s="53" t="inlineStr">
        <is>
          <t>OK</t>
        </is>
      </c>
      <c r="F2151" s="53" t="inlineStr">
        <is>
          <t>CLEVELAND</t>
        </is>
      </c>
      <c r="G2151" s="59" t="n"/>
      <c r="X2151" s="61" t="n"/>
      <c r="Y2151" s="61" t="n"/>
    </row>
    <row r="2152" ht="14.25" customHeight="1" s="86">
      <c r="E2152" s="53" t="inlineStr">
        <is>
          <t>OK</t>
        </is>
      </c>
      <c r="F2152" s="53" t="inlineStr">
        <is>
          <t>COAL</t>
        </is>
      </c>
      <c r="G2152" s="59" t="n"/>
      <c r="X2152" s="61" t="n"/>
      <c r="Y2152" s="61" t="n"/>
    </row>
    <row r="2153" ht="14.25" customHeight="1" s="86">
      <c r="E2153" s="53" t="inlineStr">
        <is>
          <t>OK</t>
        </is>
      </c>
      <c r="F2153" s="53" t="inlineStr">
        <is>
          <t>COMANCHE</t>
        </is>
      </c>
      <c r="G2153" s="59" t="n"/>
      <c r="X2153" s="61" t="n"/>
      <c r="Y2153" s="61" t="n"/>
    </row>
    <row r="2154" ht="14.25" customHeight="1" s="86">
      <c r="E2154" s="53" t="inlineStr">
        <is>
          <t>OK</t>
        </is>
      </c>
      <c r="F2154" s="53" t="inlineStr">
        <is>
          <t>COTTON</t>
        </is>
      </c>
      <c r="G2154" s="59" t="n"/>
      <c r="X2154" s="61" t="n"/>
      <c r="Y2154" s="61" t="n"/>
    </row>
    <row r="2155" ht="14.25" customHeight="1" s="86">
      <c r="E2155" s="53" t="inlineStr">
        <is>
          <t>OK</t>
        </is>
      </c>
      <c r="F2155" s="53" t="inlineStr">
        <is>
          <t>CRAIG</t>
        </is>
      </c>
      <c r="G2155" s="59" t="n"/>
      <c r="X2155" s="61" t="n"/>
      <c r="Y2155" s="61" t="n"/>
    </row>
    <row r="2156" ht="14.25" customHeight="1" s="86">
      <c r="E2156" s="53" t="inlineStr">
        <is>
          <t>OK</t>
        </is>
      </c>
      <c r="F2156" s="53" t="inlineStr">
        <is>
          <t>CREEK</t>
        </is>
      </c>
      <c r="G2156" s="59" t="n"/>
      <c r="X2156" s="61" t="n"/>
      <c r="Y2156" s="61" t="n"/>
    </row>
    <row r="2157" ht="14.25" customHeight="1" s="86">
      <c r="E2157" s="53" t="inlineStr">
        <is>
          <t>OK</t>
        </is>
      </c>
      <c r="F2157" s="53" t="inlineStr">
        <is>
          <t>CUSTER</t>
        </is>
      </c>
      <c r="G2157" s="59" t="n"/>
      <c r="X2157" s="61" t="n"/>
      <c r="Y2157" s="61" t="n"/>
    </row>
    <row r="2158" ht="14.25" customHeight="1" s="86">
      <c r="E2158" s="53" t="inlineStr">
        <is>
          <t>OK</t>
        </is>
      </c>
      <c r="F2158" s="53" t="inlineStr">
        <is>
          <t>DELAWARE</t>
        </is>
      </c>
      <c r="G2158" s="59" t="n"/>
      <c r="X2158" s="61" t="n"/>
      <c r="Y2158" s="61" t="n"/>
    </row>
    <row r="2159" ht="14.25" customHeight="1" s="86">
      <c r="E2159" s="53" t="inlineStr">
        <is>
          <t>OK</t>
        </is>
      </c>
      <c r="F2159" s="53" t="inlineStr">
        <is>
          <t>DEWEY</t>
        </is>
      </c>
      <c r="G2159" s="59" t="n"/>
      <c r="X2159" s="61" t="n"/>
      <c r="Y2159" s="61" t="n"/>
    </row>
    <row r="2160" ht="14.25" customHeight="1" s="86">
      <c r="E2160" s="53" t="inlineStr">
        <is>
          <t>OK</t>
        </is>
      </c>
      <c r="F2160" s="53" t="inlineStr">
        <is>
          <t>ELLIS</t>
        </is>
      </c>
      <c r="G2160" s="59" t="n"/>
      <c r="X2160" s="61" t="n"/>
      <c r="Y2160" s="61" t="n"/>
    </row>
    <row r="2161" ht="14.25" customHeight="1" s="86">
      <c r="E2161" s="53" t="inlineStr">
        <is>
          <t>OK</t>
        </is>
      </c>
      <c r="F2161" s="53" t="inlineStr">
        <is>
          <t>GARFIELD</t>
        </is>
      </c>
      <c r="G2161" s="59" t="n"/>
      <c r="X2161" s="61" t="n"/>
      <c r="Y2161" s="61" t="n"/>
    </row>
    <row r="2162" ht="14.25" customHeight="1" s="86">
      <c r="E2162" s="53" t="inlineStr">
        <is>
          <t>OK</t>
        </is>
      </c>
      <c r="F2162" s="53" t="inlineStr">
        <is>
          <t>GARVIN</t>
        </is>
      </c>
      <c r="G2162" s="59" t="n"/>
      <c r="X2162" s="61" t="n"/>
      <c r="Y2162" s="61" t="n"/>
    </row>
    <row r="2163" ht="14.25" customHeight="1" s="86">
      <c r="E2163" s="53" t="inlineStr">
        <is>
          <t>OK</t>
        </is>
      </c>
      <c r="F2163" s="53" t="inlineStr">
        <is>
          <t>GRADY</t>
        </is>
      </c>
      <c r="G2163" s="59" t="n"/>
      <c r="X2163" s="61" t="n"/>
      <c r="Y2163" s="61" t="n"/>
    </row>
    <row r="2164" ht="14.25" customHeight="1" s="86">
      <c r="E2164" s="53" t="inlineStr">
        <is>
          <t>OK</t>
        </is>
      </c>
      <c r="F2164" s="53" t="inlineStr">
        <is>
          <t>GRANT</t>
        </is>
      </c>
      <c r="G2164" s="59" t="n"/>
      <c r="X2164" s="61" t="n"/>
      <c r="Y2164" s="61" t="n"/>
    </row>
    <row r="2165" ht="14.25" customHeight="1" s="86">
      <c r="E2165" s="53" t="inlineStr">
        <is>
          <t>OK</t>
        </is>
      </c>
      <c r="F2165" s="53" t="inlineStr">
        <is>
          <t>GREER</t>
        </is>
      </c>
      <c r="G2165" s="59" t="n"/>
      <c r="X2165" s="61" t="n"/>
      <c r="Y2165" s="61" t="n"/>
    </row>
    <row r="2166" ht="14.25" customHeight="1" s="86">
      <c r="E2166" s="53" t="inlineStr">
        <is>
          <t>OK</t>
        </is>
      </c>
      <c r="F2166" s="53" t="inlineStr">
        <is>
          <t>HARMON</t>
        </is>
      </c>
      <c r="G2166" s="59" t="n"/>
      <c r="X2166" s="61" t="n"/>
      <c r="Y2166" s="61" t="n"/>
    </row>
    <row r="2167" ht="14.25" customHeight="1" s="86">
      <c r="E2167" s="53" t="inlineStr">
        <is>
          <t>OK</t>
        </is>
      </c>
      <c r="F2167" s="53" t="inlineStr">
        <is>
          <t>HARPER</t>
        </is>
      </c>
      <c r="G2167" s="59" t="n"/>
      <c r="X2167" s="61" t="n"/>
      <c r="Y2167" s="61" t="n"/>
    </row>
    <row r="2168" ht="14.25" customHeight="1" s="86">
      <c r="E2168" s="53" t="inlineStr">
        <is>
          <t>OK</t>
        </is>
      </c>
      <c r="F2168" s="53" t="inlineStr">
        <is>
          <t>HASKELL</t>
        </is>
      </c>
      <c r="G2168" s="59" t="n"/>
      <c r="X2168" s="61" t="n"/>
      <c r="Y2168" s="61" t="n"/>
    </row>
    <row r="2169" ht="14.25" customHeight="1" s="86">
      <c r="E2169" s="53" t="inlineStr">
        <is>
          <t>OK</t>
        </is>
      </c>
      <c r="F2169" s="53" t="inlineStr">
        <is>
          <t>HUGHES</t>
        </is>
      </c>
      <c r="G2169" s="59" t="n"/>
      <c r="X2169" s="61" t="n"/>
      <c r="Y2169" s="61" t="n"/>
    </row>
    <row r="2170" ht="14.25" customHeight="1" s="86">
      <c r="E2170" s="53" t="inlineStr">
        <is>
          <t>OK</t>
        </is>
      </c>
      <c r="F2170" s="53" t="inlineStr">
        <is>
          <t>JACKSON</t>
        </is>
      </c>
      <c r="G2170" s="59" t="n"/>
      <c r="X2170" s="61" t="n"/>
      <c r="Y2170" s="61" t="n"/>
    </row>
    <row r="2171" ht="14.25" customHeight="1" s="86">
      <c r="E2171" s="53" t="inlineStr">
        <is>
          <t>OK</t>
        </is>
      </c>
      <c r="F2171" s="53" t="inlineStr">
        <is>
          <t>JEFFERSON</t>
        </is>
      </c>
      <c r="G2171" s="59" t="n"/>
      <c r="X2171" s="61" t="n"/>
      <c r="Y2171" s="61" t="n"/>
    </row>
    <row r="2172" ht="14.25" customHeight="1" s="86">
      <c r="E2172" s="53" t="inlineStr">
        <is>
          <t>OK</t>
        </is>
      </c>
      <c r="F2172" s="53" t="inlineStr">
        <is>
          <t>JOHNSTON</t>
        </is>
      </c>
      <c r="G2172" s="59" t="n"/>
      <c r="X2172" s="61" t="n"/>
      <c r="Y2172" s="61" t="n"/>
    </row>
    <row r="2173" ht="14.25" customHeight="1" s="86">
      <c r="E2173" s="53" t="inlineStr">
        <is>
          <t>OK</t>
        </is>
      </c>
      <c r="F2173" s="53" t="inlineStr">
        <is>
          <t>KAY</t>
        </is>
      </c>
      <c r="G2173" s="59" t="n"/>
      <c r="X2173" s="61" t="n"/>
      <c r="Y2173" s="61" t="n"/>
    </row>
    <row r="2174" ht="14.25" customHeight="1" s="86">
      <c r="E2174" s="53" t="inlineStr">
        <is>
          <t>OK</t>
        </is>
      </c>
      <c r="F2174" s="53" t="inlineStr">
        <is>
          <t>KINGFISHER</t>
        </is>
      </c>
      <c r="G2174" s="59" t="n"/>
      <c r="X2174" s="61" t="n"/>
      <c r="Y2174" s="61" t="n"/>
    </row>
    <row r="2175" ht="14.25" customHeight="1" s="86">
      <c r="E2175" s="53" t="inlineStr">
        <is>
          <t>OK</t>
        </is>
      </c>
      <c r="F2175" s="53" t="inlineStr">
        <is>
          <t>KIOWA</t>
        </is>
      </c>
      <c r="G2175" s="59" t="n"/>
      <c r="X2175" s="61" t="n"/>
      <c r="Y2175" s="61" t="n"/>
    </row>
    <row r="2176" ht="14.25" customHeight="1" s="86">
      <c r="E2176" s="53" t="inlineStr">
        <is>
          <t>OK</t>
        </is>
      </c>
      <c r="F2176" s="53" t="inlineStr">
        <is>
          <t>LATIMER</t>
        </is>
      </c>
      <c r="G2176" s="59" t="n"/>
      <c r="X2176" s="61" t="n"/>
      <c r="Y2176" s="61" t="n"/>
    </row>
    <row r="2177" ht="14.25" customHeight="1" s="86">
      <c r="E2177" s="53" t="inlineStr">
        <is>
          <t>OK</t>
        </is>
      </c>
      <c r="F2177" s="53" t="inlineStr">
        <is>
          <t>LE FLORE</t>
        </is>
      </c>
      <c r="G2177" s="59" t="n"/>
      <c r="X2177" s="61" t="n"/>
      <c r="Y2177" s="61" t="n"/>
    </row>
    <row r="2178" ht="14.25" customHeight="1" s="86">
      <c r="E2178" s="53" t="inlineStr">
        <is>
          <t>OK</t>
        </is>
      </c>
      <c r="F2178" s="53" t="inlineStr">
        <is>
          <t>LINCOLN</t>
        </is>
      </c>
      <c r="G2178" s="59" t="n"/>
      <c r="X2178" s="61" t="n"/>
      <c r="Y2178" s="61" t="n"/>
    </row>
    <row r="2179" ht="14.25" customHeight="1" s="86">
      <c r="E2179" s="53" t="inlineStr">
        <is>
          <t>OK</t>
        </is>
      </c>
      <c r="F2179" s="53" t="inlineStr">
        <is>
          <t>LOGAN</t>
        </is>
      </c>
      <c r="G2179" s="59" t="n"/>
      <c r="X2179" s="61" t="n"/>
      <c r="Y2179" s="61" t="n"/>
    </row>
    <row r="2180" ht="14.25" customHeight="1" s="86">
      <c r="E2180" s="53" t="inlineStr">
        <is>
          <t>OK</t>
        </is>
      </c>
      <c r="F2180" s="53" t="inlineStr">
        <is>
          <t>LOVE</t>
        </is>
      </c>
      <c r="G2180" s="59" t="n"/>
      <c r="X2180" s="61" t="n"/>
      <c r="Y2180" s="61" t="n"/>
    </row>
    <row r="2181" ht="14.25" customHeight="1" s="86">
      <c r="E2181" s="53" t="inlineStr">
        <is>
          <t>OK</t>
        </is>
      </c>
      <c r="F2181" s="53" t="inlineStr">
        <is>
          <t>MAJOR</t>
        </is>
      </c>
      <c r="G2181" s="59" t="n"/>
      <c r="X2181" s="61" t="n"/>
      <c r="Y2181" s="61" t="n"/>
    </row>
    <row r="2182" ht="14.25" customHeight="1" s="86">
      <c r="E2182" s="53" t="inlineStr">
        <is>
          <t>OK</t>
        </is>
      </c>
      <c r="F2182" s="53" t="inlineStr">
        <is>
          <t>MARSHALL</t>
        </is>
      </c>
      <c r="G2182" s="59" t="n"/>
      <c r="X2182" s="61" t="n"/>
      <c r="Y2182" s="61" t="n"/>
    </row>
    <row r="2183" ht="14.25" customHeight="1" s="86">
      <c r="E2183" s="53" t="inlineStr">
        <is>
          <t>OK</t>
        </is>
      </c>
      <c r="F2183" s="53" t="inlineStr">
        <is>
          <t>MAYES</t>
        </is>
      </c>
      <c r="G2183" s="59" t="n"/>
      <c r="X2183" s="61" t="n"/>
      <c r="Y2183" s="61" t="n"/>
    </row>
    <row r="2184" ht="14.25" customHeight="1" s="86">
      <c r="E2184" s="53" t="inlineStr">
        <is>
          <t>OK</t>
        </is>
      </c>
      <c r="F2184" s="53" t="inlineStr">
        <is>
          <t>MCCLAIN</t>
        </is>
      </c>
      <c r="G2184" s="59" t="n"/>
      <c r="X2184" s="61" t="n"/>
      <c r="Y2184" s="61" t="n"/>
    </row>
    <row r="2185" ht="14.25" customHeight="1" s="86">
      <c r="E2185" s="53" t="inlineStr">
        <is>
          <t>OK</t>
        </is>
      </c>
      <c r="F2185" s="53" t="inlineStr">
        <is>
          <t>MCCURTAIN</t>
        </is>
      </c>
      <c r="G2185" s="59" t="n"/>
      <c r="X2185" s="61" t="n"/>
      <c r="Y2185" s="61" t="n"/>
    </row>
    <row r="2186" ht="14.25" customHeight="1" s="86">
      <c r="E2186" s="53" t="inlineStr">
        <is>
          <t>OK</t>
        </is>
      </c>
      <c r="F2186" s="53" t="inlineStr">
        <is>
          <t>MCINTOSH</t>
        </is>
      </c>
      <c r="G2186" s="59" t="n"/>
      <c r="X2186" s="61" t="n"/>
      <c r="Y2186" s="61" t="n"/>
    </row>
    <row r="2187" ht="14.25" customHeight="1" s="86">
      <c r="E2187" s="53" t="inlineStr">
        <is>
          <t>OK</t>
        </is>
      </c>
      <c r="F2187" s="53" t="inlineStr">
        <is>
          <t>MURRAY</t>
        </is>
      </c>
      <c r="G2187" s="59" t="n"/>
      <c r="X2187" s="61" t="n"/>
      <c r="Y2187" s="61" t="n"/>
    </row>
    <row r="2188" ht="14.25" customHeight="1" s="86">
      <c r="E2188" s="53" t="inlineStr">
        <is>
          <t>OK</t>
        </is>
      </c>
      <c r="F2188" s="53" t="inlineStr">
        <is>
          <t>MUSKOGEE</t>
        </is>
      </c>
      <c r="G2188" s="59" t="n"/>
      <c r="X2188" s="61" t="n"/>
      <c r="Y2188" s="61" t="n"/>
    </row>
    <row r="2189" ht="14.25" customHeight="1" s="86">
      <c r="E2189" s="53" t="inlineStr">
        <is>
          <t>OK</t>
        </is>
      </c>
      <c r="F2189" s="53" t="inlineStr">
        <is>
          <t>NOBLE</t>
        </is>
      </c>
      <c r="G2189" s="59" t="n"/>
      <c r="X2189" s="61" t="n"/>
      <c r="Y2189" s="61" t="n"/>
    </row>
    <row r="2190" ht="14.25" customHeight="1" s="86">
      <c r="E2190" s="53" t="inlineStr">
        <is>
          <t>OK</t>
        </is>
      </c>
      <c r="F2190" s="53" t="inlineStr">
        <is>
          <t>NOWATA</t>
        </is>
      </c>
      <c r="G2190" s="59" t="n"/>
      <c r="X2190" s="61" t="n"/>
      <c r="Y2190" s="61" t="n"/>
    </row>
    <row r="2191" ht="14.25" customHeight="1" s="86">
      <c r="E2191" s="53" t="inlineStr">
        <is>
          <t>OK</t>
        </is>
      </c>
      <c r="F2191" s="53" t="inlineStr">
        <is>
          <t>OKFUSKEE</t>
        </is>
      </c>
      <c r="G2191" s="59" t="n"/>
      <c r="X2191" s="61" t="n"/>
      <c r="Y2191" s="61" t="n"/>
    </row>
    <row r="2192" ht="14.25" customHeight="1" s="86">
      <c r="E2192" s="53" t="inlineStr">
        <is>
          <t>OK</t>
        </is>
      </c>
      <c r="F2192" s="53" t="inlineStr">
        <is>
          <t>OKLAHOMA</t>
        </is>
      </c>
      <c r="G2192" s="59" t="n"/>
      <c r="X2192" s="61" t="n"/>
      <c r="Y2192" s="61" t="n"/>
    </row>
    <row r="2193" ht="14.25" customHeight="1" s="86">
      <c r="E2193" s="53" t="inlineStr">
        <is>
          <t>OK</t>
        </is>
      </c>
      <c r="F2193" s="53" t="inlineStr">
        <is>
          <t>OKMULGEE</t>
        </is>
      </c>
      <c r="G2193" s="59" t="n"/>
      <c r="X2193" s="61" t="n"/>
      <c r="Y2193" s="61" t="n"/>
    </row>
    <row r="2194" ht="14.25" customHeight="1" s="86">
      <c r="E2194" s="53" t="inlineStr">
        <is>
          <t>OK</t>
        </is>
      </c>
      <c r="F2194" s="53" t="inlineStr">
        <is>
          <t>OSAGE</t>
        </is>
      </c>
      <c r="G2194" s="59" t="n"/>
      <c r="X2194" s="61" t="n"/>
      <c r="Y2194" s="61" t="n"/>
    </row>
    <row r="2195" ht="14.25" customHeight="1" s="86">
      <c r="E2195" s="53" t="inlineStr">
        <is>
          <t>OK</t>
        </is>
      </c>
      <c r="F2195" s="53" t="inlineStr">
        <is>
          <t>OTTAWA</t>
        </is>
      </c>
      <c r="G2195" s="59" t="n"/>
      <c r="X2195" s="61" t="n"/>
      <c r="Y2195" s="61" t="n"/>
    </row>
    <row r="2196" ht="14.25" customHeight="1" s="86">
      <c r="E2196" s="53" t="inlineStr">
        <is>
          <t>OK</t>
        </is>
      </c>
      <c r="F2196" s="53" t="inlineStr">
        <is>
          <t>PAWNEE</t>
        </is>
      </c>
      <c r="G2196" s="59" t="n"/>
      <c r="X2196" s="61" t="n"/>
      <c r="Y2196" s="61" t="n"/>
    </row>
    <row r="2197" ht="14.25" customHeight="1" s="86">
      <c r="E2197" s="53" t="inlineStr">
        <is>
          <t>OK</t>
        </is>
      </c>
      <c r="F2197" s="53" t="inlineStr">
        <is>
          <t>PAYNE</t>
        </is>
      </c>
      <c r="G2197" s="59" t="n"/>
      <c r="X2197" s="61" t="n"/>
      <c r="Y2197" s="61" t="n"/>
    </row>
    <row r="2198" ht="14.25" customHeight="1" s="86">
      <c r="E2198" s="53" t="inlineStr">
        <is>
          <t>OK</t>
        </is>
      </c>
      <c r="F2198" s="53" t="inlineStr">
        <is>
          <t>PITTSBURG</t>
        </is>
      </c>
      <c r="G2198" s="59" t="n"/>
      <c r="X2198" s="61" t="n"/>
      <c r="Y2198" s="61" t="n"/>
    </row>
    <row r="2199" ht="14.25" customHeight="1" s="86">
      <c r="E2199" s="53" t="inlineStr">
        <is>
          <t>OK</t>
        </is>
      </c>
      <c r="F2199" s="53" t="inlineStr">
        <is>
          <t>PONTOTOC</t>
        </is>
      </c>
      <c r="G2199" s="59" t="n"/>
      <c r="X2199" s="61" t="n"/>
      <c r="Y2199" s="61" t="n"/>
    </row>
    <row r="2200" ht="14.25" customHeight="1" s="86">
      <c r="E2200" s="53" t="inlineStr">
        <is>
          <t>OK</t>
        </is>
      </c>
      <c r="F2200" s="53" t="inlineStr">
        <is>
          <t>POTTAWATOMIE</t>
        </is>
      </c>
      <c r="G2200" s="59" t="n"/>
      <c r="X2200" s="61" t="n"/>
      <c r="Y2200" s="61" t="n"/>
    </row>
    <row r="2201" ht="14.25" customHeight="1" s="86">
      <c r="E2201" s="53" t="inlineStr">
        <is>
          <t>OK</t>
        </is>
      </c>
      <c r="F2201" s="53" t="inlineStr">
        <is>
          <t>PUSHMATAHA</t>
        </is>
      </c>
      <c r="G2201" s="59" t="n"/>
      <c r="X2201" s="61" t="n"/>
      <c r="Y2201" s="61" t="n"/>
    </row>
    <row r="2202" ht="14.25" customHeight="1" s="86">
      <c r="E2202" s="53" t="inlineStr">
        <is>
          <t>OK</t>
        </is>
      </c>
      <c r="F2202" s="53" t="inlineStr">
        <is>
          <t>ROGER MILLS</t>
        </is>
      </c>
      <c r="G2202" s="59" t="n"/>
      <c r="X2202" s="61" t="n"/>
      <c r="Y2202" s="61" t="n"/>
    </row>
    <row r="2203" ht="14.25" customHeight="1" s="86">
      <c r="E2203" s="53" t="inlineStr">
        <is>
          <t>OK</t>
        </is>
      </c>
      <c r="F2203" s="53" t="inlineStr">
        <is>
          <t>ROGERS</t>
        </is>
      </c>
      <c r="G2203" s="59" t="n"/>
      <c r="X2203" s="61" t="n"/>
      <c r="Y2203" s="61" t="n"/>
    </row>
    <row r="2204" ht="14.25" customHeight="1" s="86">
      <c r="E2204" s="53" t="inlineStr">
        <is>
          <t>OK</t>
        </is>
      </c>
      <c r="F2204" s="53" t="inlineStr">
        <is>
          <t>SEMINOLE</t>
        </is>
      </c>
      <c r="G2204" s="59" t="n"/>
      <c r="X2204" s="61" t="n"/>
      <c r="Y2204" s="61" t="n"/>
    </row>
    <row r="2205" ht="14.25" customHeight="1" s="86">
      <c r="E2205" s="53" t="inlineStr">
        <is>
          <t>OK</t>
        </is>
      </c>
      <c r="F2205" s="53" t="inlineStr">
        <is>
          <t>SEQUOYAH</t>
        </is>
      </c>
      <c r="G2205" s="59" t="n"/>
      <c r="X2205" s="61" t="n"/>
      <c r="Y2205" s="61" t="n"/>
    </row>
    <row r="2206" ht="14.25" customHeight="1" s="86">
      <c r="E2206" s="53" t="inlineStr">
        <is>
          <t>OK</t>
        </is>
      </c>
      <c r="F2206" s="53" t="inlineStr">
        <is>
          <t>STEPHENS</t>
        </is>
      </c>
      <c r="G2206" s="59" t="n"/>
      <c r="X2206" s="61" t="n"/>
      <c r="Y2206" s="61" t="n"/>
    </row>
    <row r="2207" ht="14.25" customHeight="1" s="86">
      <c r="E2207" s="53" t="inlineStr">
        <is>
          <t>OK</t>
        </is>
      </c>
      <c r="F2207" s="53" t="inlineStr">
        <is>
          <t>TEXAS</t>
        </is>
      </c>
      <c r="G2207" s="59" t="n"/>
      <c r="X2207" s="61" t="n"/>
      <c r="Y2207" s="61" t="n"/>
    </row>
    <row r="2208" ht="14.25" customHeight="1" s="86">
      <c r="E2208" s="53" t="inlineStr">
        <is>
          <t>OK</t>
        </is>
      </c>
      <c r="F2208" s="53" t="inlineStr">
        <is>
          <t>TILLMAN</t>
        </is>
      </c>
      <c r="G2208" s="59" t="n"/>
      <c r="X2208" s="61" t="n"/>
      <c r="Y2208" s="61" t="n"/>
    </row>
    <row r="2209" ht="14.25" customHeight="1" s="86">
      <c r="E2209" s="53" t="inlineStr">
        <is>
          <t>OK</t>
        </is>
      </c>
      <c r="F2209" s="53" t="inlineStr">
        <is>
          <t>TULSA</t>
        </is>
      </c>
      <c r="G2209" s="59" t="n"/>
      <c r="X2209" s="61" t="n"/>
      <c r="Y2209" s="61" t="n"/>
    </row>
    <row r="2210" ht="14.25" customHeight="1" s="86">
      <c r="E2210" s="53" t="inlineStr">
        <is>
          <t>OK</t>
        </is>
      </c>
      <c r="F2210" s="53" t="inlineStr">
        <is>
          <t>WAGONER</t>
        </is>
      </c>
      <c r="G2210" s="59" t="n"/>
      <c r="X2210" s="61" t="n"/>
      <c r="Y2210" s="61" t="n"/>
    </row>
    <row r="2211" ht="14.25" customHeight="1" s="86">
      <c r="E2211" s="53" t="inlineStr">
        <is>
          <t>OK</t>
        </is>
      </c>
      <c r="F2211" s="53" t="inlineStr">
        <is>
          <t>WASHINGTON</t>
        </is>
      </c>
      <c r="G2211" s="59" t="n"/>
      <c r="X2211" s="61" t="n"/>
      <c r="Y2211" s="61" t="n"/>
    </row>
    <row r="2212" ht="14.25" customHeight="1" s="86">
      <c r="E2212" s="53" t="inlineStr">
        <is>
          <t>OK</t>
        </is>
      </c>
      <c r="F2212" s="53" t="inlineStr">
        <is>
          <t>WASHITA</t>
        </is>
      </c>
      <c r="G2212" s="59" t="n"/>
      <c r="X2212" s="61" t="n"/>
      <c r="Y2212" s="61" t="n"/>
    </row>
    <row r="2213" ht="14.25" customHeight="1" s="86">
      <c r="E2213" s="53" t="inlineStr">
        <is>
          <t>OK</t>
        </is>
      </c>
      <c r="F2213" s="53" t="inlineStr">
        <is>
          <t>WOODS</t>
        </is>
      </c>
      <c r="G2213" s="59" t="n"/>
      <c r="X2213" s="61" t="n"/>
      <c r="Y2213" s="61" t="n"/>
    </row>
    <row r="2214" ht="14.25" customHeight="1" s="86">
      <c r="E2214" s="53" t="inlineStr">
        <is>
          <t>OK</t>
        </is>
      </c>
      <c r="F2214" s="53" t="inlineStr">
        <is>
          <t>WOODWARD</t>
        </is>
      </c>
      <c r="G2214" s="59" t="n"/>
      <c r="X2214" s="61" t="n"/>
      <c r="Y2214" s="61" t="n"/>
    </row>
    <row r="2215" ht="14.25" customHeight="1" s="86">
      <c r="E2215" s="53" t="inlineStr">
        <is>
          <t>OR</t>
        </is>
      </c>
      <c r="F2215" s="53" t="inlineStr">
        <is>
          <t>BAKER</t>
        </is>
      </c>
      <c r="G2215" s="59" t="n"/>
      <c r="X2215" s="61" t="n"/>
      <c r="Y2215" s="61" t="n"/>
    </row>
    <row r="2216" ht="14.25" customHeight="1" s="86">
      <c r="E2216" s="53" t="inlineStr">
        <is>
          <t>OR</t>
        </is>
      </c>
      <c r="F2216" s="53" t="inlineStr">
        <is>
          <t>BENTON</t>
        </is>
      </c>
      <c r="G2216" s="59" t="n"/>
      <c r="X2216" s="61" t="n"/>
      <c r="Y2216" s="61" t="n"/>
    </row>
    <row r="2217" ht="14.25" customHeight="1" s="86">
      <c r="E2217" s="53" t="inlineStr">
        <is>
          <t>OR</t>
        </is>
      </c>
      <c r="F2217" s="53" t="inlineStr">
        <is>
          <t>CLACKAMAS</t>
        </is>
      </c>
      <c r="G2217" s="59" t="n"/>
      <c r="X2217" s="61" t="n"/>
      <c r="Y2217" s="61" t="n"/>
    </row>
    <row r="2218" ht="14.25" customHeight="1" s="86">
      <c r="E2218" s="53" t="inlineStr">
        <is>
          <t>OR</t>
        </is>
      </c>
      <c r="F2218" s="53" t="inlineStr">
        <is>
          <t>CLATSOP</t>
        </is>
      </c>
      <c r="G2218" s="59" t="n"/>
      <c r="X2218" s="61" t="n"/>
      <c r="Y2218" s="61" t="n"/>
    </row>
    <row r="2219" ht="14.25" customHeight="1" s="86">
      <c r="E2219" s="53" t="inlineStr">
        <is>
          <t>OR</t>
        </is>
      </c>
      <c r="F2219" s="53" t="inlineStr">
        <is>
          <t>COLUMBIA</t>
        </is>
      </c>
      <c r="G2219" s="59" t="n"/>
      <c r="X2219" s="61" t="n"/>
      <c r="Y2219" s="61" t="n"/>
    </row>
    <row r="2220" ht="14.25" customHeight="1" s="86">
      <c r="E2220" s="53" t="inlineStr">
        <is>
          <t>OR</t>
        </is>
      </c>
      <c r="F2220" s="53" t="inlineStr">
        <is>
          <t>COOS</t>
        </is>
      </c>
      <c r="G2220" s="59" t="n"/>
      <c r="X2220" s="61" t="n"/>
      <c r="Y2220" s="61" t="n"/>
    </row>
    <row r="2221" ht="14.25" customHeight="1" s="86">
      <c r="E2221" s="53" t="inlineStr">
        <is>
          <t>OR</t>
        </is>
      </c>
      <c r="F2221" s="53" t="inlineStr">
        <is>
          <t>CROOK</t>
        </is>
      </c>
      <c r="G2221" s="59" t="n"/>
      <c r="X2221" s="61" t="n"/>
      <c r="Y2221" s="61" t="n"/>
    </row>
    <row r="2222" ht="14.25" customHeight="1" s="86">
      <c r="E2222" s="53" t="inlineStr">
        <is>
          <t>OR</t>
        </is>
      </c>
      <c r="F2222" s="53" t="inlineStr">
        <is>
          <t>CURRY</t>
        </is>
      </c>
      <c r="G2222" s="59" t="n"/>
      <c r="X2222" s="61" t="n"/>
      <c r="Y2222" s="61" t="n"/>
    </row>
    <row r="2223" ht="14.25" customHeight="1" s="86">
      <c r="E2223" s="53" t="inlineStr">
        <is>
          <t>OR</t>
        </is>
      </c>
      <c r="F2223" s="53" t="inlineStr">
        <is>
          <t>DESCHUTES</t>
        </is>
      </c>
      <c r="G2223" s="59" t="n"/>
      <c r="X2223" s="61" t="n"/>
      <c r="Y2223" s="61" t="n"/>
    </row>
    <row r="2224" ht="14.25" customHeight="1" s="86">
      <c r="E2224" s="53" t="inlineStr">
        <is>
          <t>OR</t>
        </is>
      </c>
      <c r="F2224" s="53" t="inlineStr">
        <is>
          <t>DOUGLAS</t>
        </is>
      </c>
      <c r="G2224" s="59" t="n"/>
      <c r="X2224" s="61" t="n"/>
      <c r="Y2224" s="61" t="n"/>
    </row>
    <row r="2225" ht="14.25" customHeight="1" s="86">
      <c r="E2225" s="53" t="inlineStr">
        <is>
          <t>OR</t>
        </is>
      </c>
      <c r="F2225" s="53" t="inlineStr">
        <is>
          <t>GILLIAM</t>
        </is>
      </c>
      <c r="G2225" s="59" t="n"/>
      <c r="X2225" s="61" t="n"/>
      <c r="Y2225" s="61" t="n"/>
    </row>
    <row r="2226" ht="14.25" customHeight="1" s="86">
      <c r="E2226" s="53" t="inlineStr">
        <is>
          <t>OR</t>
        </is>
      </c>
      <c r="F2226" s="53" t="inlineStr">
        <is>
          <t>GRANT</t>
        </is>
      </c>
      <c r="G2226" s="59" t="n"/>
      <c r="X2226" s="61" t="n"/>
      <c r="Y2226" s="61" t="n"/>
    </row>
    <row r="2227" ht="14.25" customHeight="1" s="86">
      <c r="E2227" s="53" t="inlineStr">
        <is>
          <t>OR</t>
        </is>
      </c>
      <c r="F2227" s="53" t="inlineStr">
        <is>
          <t>HARNEY</t>
        </is>
      </c>
      <c r="G2227" s="59" t="n"/>
      <c r="X2227" s="61" t="n"/>
      <c r="Y2227" s="61" t="n"/>
    </row>
    <row r="2228" ht="14.25" customHeight="1" s="86">
      <c r="E2228" s="53" t="inlineStr">
        <is>
          <t>OR</t>
        </is>
      </c>
      <c r="F2228" s="53" t="inlineStr">
        <is>
          <t>HOOD RIVER</t>
        </is>
      </c>
      <c r="G2228" s="59" t="n"/>
      <c r="X2228" s="61" t="n"/>
      <c r="Y2228" s="61" t="n"/>
    </row>
    <row r="2229" ht="14.25" customHeight="1" s="86">
      <c r="E2229" s="53" t="inlineStr">
        <is>
          <t>OR</t>
        </is>
      </c>
      <c r="F2229" s="53" t="inlineStr">
        <is>
          <t>JACKSON</t>
        </is>
      </c>
      <c r="G2229" s="59" t="n"/>
      <c r="X2229" s="61" t="n"/>
      <c r="Y2229" s="61" t="n"/>
    </row>
    <row r="2230" ht="14.25" customHeight="1" s="86">
      <c r="E2230" s="53" t="inlineStr">
        <is>
          <t>OR</t>
        </is>
      </c>
      <c r="F2230" s="53" t="inlineStr">
        <is>
          <t>JEFFERSON</t>
        </is>
      </c>
      <c r="G2230" s="59" t="n"/>
      <c r="X2230" s="61" t="n"/>
      <c r="Y2230" s="61" t="n"/>
    </row>
    <row r="2231" ht="14.25" customHeight="1" s="86">
      <c r="E2231" s="53" t="inlineStr">
        <is>
          <t>OR</t>
        </is>
      </c>
      <c r="F2231" s="53" t="inlineStr">
        <is>
          <t>JOSEPHINE</t>
        </is>
      </c>
      <c r="G2231" s="59" t="n"/>
      <c r="X2231" s="61" t="n"/>
      <c r="Y2231" s="61" t="n"/>
    </row>
    <row r="2232" ht="14.25" customHeight="1" s="86">
      <c r="E2232" s="53" t="inlineStr">
        <is>
          <t>OR</t>
        </is>
      </c>
      <c r="F2232" s="53" t="inlineStr">
        <is>
          <t>KLAMATH</t>
        </is>
      </c>
      <c r="G2232" s="59" t="n"/>
      <c r="X2232" s="61" t="n"/>
      <c r="Y2232" s="61" t="n"/>
    </row>
    <row r="2233" ht="14.25" customHeight="1" s="86">
      <c r="E2233" s="53" t="inlineStr">
        <is>
          <t>OR</t>
        </is>
      </c>
      <c r="F2233" s="53" t="inlineStr">
        <is>
          <t>LAKE</t>
        </is>
      </c>
      <c r="G2233" s="59" t="n"/>
      <c r="X2233" s="61" t="n"/>
      <c r="Y2233" s="61" t="n"/>
    </row>
    <row r="2234" ht="14.25" customHeight="1" s="86">
      <c r="E2234" s="53" t="inlineStr">
        <is>
          <t>OR</t>
        </is>
      </c>
      <c r="F2234" s="53" t="inlineStr">
        <is>
          <t>LANE</t>
        </is>
      </c>
      <c r="G2234" s="59" t="n"/>
      <c r="X2234" s="61" t="n"/>
      <c r="Y2234" s="61" t="n"/>
    </row>
    <row r="2235" ht="14.25" customHeight="1" s="86">
      <c r="E2235" s="53" t="inlineStr">
        <is>
          <t>OR</t>
        </is>
      </c>
      <c r="F2235" s="53" t="inlineStr">
        <is>
          <t>LINCOLN</t>
        </is>
      </c>
      <c r="G2235" s="59" t="n"/>
      <c r="X2235" s="61" t="n"/>
      <c r="Y2235" s="61" t="n"/>
    </row>
    <row r="2236" ht="14.25" customHeight="1" s="86">
      <c r="E2236" s="53" t="inlineStr">
        <is>
          <t>OR</t>
        </is>
      </c>
      <c r="F2236" s="53" t="inlineStr">
        <is>
          <t>LINN</t>
        </is>
      </c>
      <c r="G2236" s="59" t="n"/>
      <c r="X2236" s="61" t="n"/>
      <c r="Y2236" s="61" t="n"/>
    </row>
    <row r="2237" ht="14.25" customHeight="1" s="86">
      <c r="E2237" s="53" t="inlineStr">
        <is>
          <t>OR</t>
        </is>
      </c>
      <c r="F2237" s="53" t="inlineStr">
        <is>
          <t>MALHEUR</t>
        </is>
      </c>
      <c r="G2237" s="59" t="n"/>
      <c r="X2237" s="61" t="n"/>
      <c r="Y2237" s="61" t="n"/>
    </row>
    <row r="2238" ht="14.25" customHeight="1" s="86">
      <c r="E2238" s="53" t="inlineStr">
        <is>
          <t>OR</t>
        </is>
      </c>
      <c r="F2238" s="53" t="inlineStr">
        <is>
          <t>MARION</t>
        </is>
      </c>
      <c r="G2238" s="59" t="n"/>
      <c r="X2238" s="61" t="n"/>
      <c r="Y2238" s="61" t="n"/>
    </row>
    <row r="2239" ht="14.25" customHeight="1" s="86">
      <c r="E2239" s="53" t="inlineStr">
        <is>
          <t>OR</t>
        </is>
      </c>
      <c r="F2239" s="53" t="inlineStr">
        <is>
          <t>MORROW</t>
        </is>
      </c>
      <c r="G2239" s="59" t="n"/>
      <c r="X2239" s="61" t="n"/>
      <c r="Y2239" s="61" t="n"/>
    </row>
    <row r="2240" ht="14.25" customHeight="1" s="86">
      <c r="E2240" s="53" t="inlineStr">
        <is>
          <t>OR</t>
        </is>
      </c>
      <c r="F2240" s="53" t="inlineStr">
        <is>
          <t>MULTNOMAH</t>
        </is>
      </c>
      <c r="G2240" s="59" t="n"/>
      <c r="X2240" s="61" t="n"/>
      <c r="Y2240" s="61" t="n"/>
    </row>
    <row r="2241" ht="14.25" customHeight="1" s="86">
      <c r="E2241" s="53" t="inlineStr">
        <is>
          <t>OR</t>
        </is>
      </c>
      <c r="F2241" s="53" t="inlineStr">
        <is>
          <t>POLK</t>
        </is>
      </c>
      <c r="G2241" s="59" t="n"/>
      <c r="X2241" s="61" t="n"/>
      <c r="Y2241" s="61" t="n"/>
    </row>
    <row r="2242" ht="14.25" customHeight="1" s="86">
      <c r="E2242" s="53" t="inlineStr">
        <is>
          <t>OR</t>
        </is>
      </c>
      <c r="F2242" s="53" t="inlineStr">
        <is>
          <t>SHERMAN</t>
        </is>
      </c>
      <c r="G2242" s="59" t="n"/>
      <c r="X2242" s="61" t="n"/>
      <c r="Y2242" s="61" t="n"/>
    </row>
    <row r="2243" ht="14.25" customHeight="1" s="86">
      <c r="E2243" s="53" t="inlineStr">
        <is>
          <t>OR</t>
        </is>
      </c>
      <c r="F2243" s="53" t="inlineStr">
        <is>
          <t>TILLAMOOK</t>
        </is>
      </c>
      <c r="G2243" s="59" t="n"/>
      <c r="X2243" s="61" t="n"/>
      <c r="Y2243" s="61" t="n"/>
    </row>
    <row r="2244" ht="14.25" customHeight="1" s="86">
      <c r="E2244" s="53" t="inlineStr">
        <is>
          <t>OR</t>
        </is>
      </c>
      <c r="F2244" s="53" t="inlineStr">
        <is>
          <t>UMATILLA</t>
        </is>
      </c>
      <c r="G2244" s="59" t="n"/>
      <c r="X2244" s="61" t="n"/>
      <c r="Y2244" s="61" t="n"/>
    </row>
    <row r="2245" ht="14.25" customHeight="1" s="86">
      <c r="E2245" s="53" t="inlineStr">
        <is>
          <t>OR</t>
        </is>
      </c>
      <c r="F2245" s="53" t="inlineStr">
        <is>
          <t>UNION</t>
        </is>
      </c>
      <c r="G2245" s="59" t="n"/>
      <c r="X2245" s="61" t="n"/>
      <c r="Y2245" s="61" t="n"/>
    </row>
    <row r="2246" ht="14.25" customHeight="1" s="86">
      <c r="E2246" s="53" t="inlineStr">
        <is>
          <t>OR</t>
        </is>
      </c>
      <c r="F2246" s="53" t="inlineStr">
        <is>
          <t>WALLOWA</t>
        </is>
      </c>
      <c r="G2246" s="59" t="n"/>
      <c r="X2246" s="61" t="n"/>
      <c r="Y2246" s="61" t="n"/>
    </row>
    <row r="2247" ht="14.25" customHeight="1" s="86">
      <c r="E2247" s="53" t="inlineStr">
        <is>
          <t>OR</t>
        </is>
      </c>
      <c r="F2247" s="53" t="inlineStr">
        <is>
          <t>WASCO</t>
        </is>
      </c>
      <c r="G2247" s="59" t="n"/>
      <c r="X2247" s="61" t="n"/>
      <c r="Y2247" s="61" t="n"/>
    </row>
    <row r="2248" ht="14.25" customHeight="1" s="86">
      <c r="E2248" s="53" t="inlineStr">
        <is>
          <t>OR</t>
        </is>
      </c>
      <c r="F2248" s="53" t="inlineStr">
        <is>
          <t>WASHINGTON</t>
        </is>
      </c>
      <c r="G2248" s="59" t="n"/>
      <c r="X2248" s="61" t="n"/>
      <c r="Y2248" s="61" t="n"/>
    </row>
    <row r="2249" ht="14.25" customHeight="1" s="86">
      <c r="E2249" s="53" t="inlineStr">
        <is>
          <t>OR</t>
        </is>
      </c>
      <c r="F2249" s="53" t="inlineStr">
        <is>
          <t>WHEELER</t>
        </is>
      </c>
      <c r="G2249" s="59" t="n"/>
      <c r="X2249" s="61" t="n"/>
      <c r="Y2249" s="61" t="n"/>
    </row>
    <row r="2250" ht="14.25" customHeight="1" s="86">
      <c r="E2250" s="53" t="inlineStr">
        <is>
          <t>OR</t>
        </is>
      </c>
      <c r="F2250" s="53" t="inlineStr">
        <is>
          <t>YAMHILL</t>
        </is>
      </c>
      <c r="G2250" s="59" t="n"/>
      <c r="X2250" s="61" t="n"/>
      <c r="Y2250" s="61" t="n"/>
    </row>
    <row r="2251" ht="14.25" customHeight="1" s="86">
      <c r="E2251" s="53" t="inlineStr">
        <is>
          <t>PA</t>
        </is>
      </c>
      <c r="F2251" s="53" t="inlineStr">
        <is>
          <t>ADAMS</t>
        </is>
      </c>
      <c r="G2251" s="59" t="n"/>
      <c r="X2251" s="61" t="n"/>
      <c r="Y2251" s="61" t="n"/>
    </row>
    <row r="2252" ht="14.25" customHeight="1" s="86">
      <c r="E2252" s="53" t="inlineStr">
        <is>
          <t>PA</t>
        </is>
      </c>
      <c r="F2252" s="53" t="inlineStr">
        <is>
          <t>ALLEGHENY</t>
        </is>
      </c>
      <c r="G2252" s="59" t="n"/>
      <c r="X2252" s="61" t="n"/>
      <c r="Y2252" s="61" t="n"/>
    </row>
    <row r="2253" ht="14.25" customHeight="1" s="86">
      <c r="E2253" s="53" t="inlineStr">
        <is>
          <t>PA</t>
        </is>
      </c>
      <c r="F2253" s="53" t="inlineStr">
        <is>
          <t>ARMSTRONG</t>
        </is>
      </c>
      <c r="G2253" s="59" t="n"/>
      <c r="X2253" s="61" t="n"/>
      <c r="Y2253" s="61" t="n"/>
    </row>
    <row r="2254" ht="14.25" customHeight="1" s="86">
      <c r="E2254" s="53" t="inlineStr">
        <is>
          <t>PA</t>
        </is>
      </c>
      <c r="F2254" s="53" t="inlineStr">
        <is>
          <t>BEAVER</t>
        </is>
      </c>
      <c r="G2254" s="59" t="n"/>
      <c r="X2254" s="61" t="n"/>
      <c r="Y2254" s="61" t="n"/>
    </row>
    <row r="2255" ht="14.25" customHeight="1" s="86">
      <c r="E2255" s="53" t="inlineStr">
        <is>
          <t>PA</t>
        </is>
      </c>
      <c r="F2255" s="53" t="inlineStr">
        <is>
          <t>BEDFORD</t>
        </is>
      </c>
      <c r="G2255" s="59" t="n"/>
      <c r="X2255" s="61" t="n"/>
      <c r="Y2255" s="61" t="n"/>
    </row>
    <row r="2256" ht="14.25" customHeight="1" s="86">
      <c r="E2256" s="53" t="inlineStr">
        <is>
          <t>PA</t>
        </is>
      </c>
      <c r="F2256" s="53" t="inlineStr">
        <is>
          <t>BERKS</t>
        </is>
      </c>
      <c r="G2256" s="59" t="n"/>
      <c r="X2256" s="61" t="n"/>
      <c r="Y2256" s="61" t="n"/>
    </row>
    <row r="2257" ht="14.25" customHeight="1" s="86">
      <c r="E2257" s="53" t="inlineStr">
        <is>
          <t>PA</t>
        </is>
      </c>
      <c r="F2257" s="53" t="inlineStr">
        <is>
          <t>BLAIR</t>
        </is>
      </c>
      <c r="G2257" s="59" t="n"/>
      <c r="X2257" s="61" t="n"/>
      <c r="Y2257" s="61" t="n"/>
    </row>
    <row r="2258" ht="14.25" customHeight="1" s="86">
      <c r="E2258" s="53" t="inlineStr">
        <is>
          <t>PA</t>
        </is>
      </c>
      <c r="F2258" s="53" t="inlineStr">
        <is>
          <t>BRADFORD</t>
        </is>
      </c>
      <c r="G2258" s="59" t="n"/>
      <c r="X2258" s="61" t="n"/>
      <c r="Y2258" s="61" t="n"/>
    </row>
    <row r="2259" ht="14.25" customHeight="1" s="86">
      <c r="E2259" s="53" t="inlineStr">
        <is>
          <t>PA</t>
        </is>
      </c>
      <c r="F2259" s="53" t="inlineStr">
        <is>
          <t>BUCKS</t>
        </is>
      </c>
      <c r="G2259" s="59" t="n"/>
      <c r="X2259" s="61" t="n"/>
      <c r="Y2259" s="61" t="n"/>
    </row>
    <row r="2260" ht="14.25" customHeight="1" s="86">
      <c r="E2260" s="53" t="inlineStr">
        <is>
          <t>PA</t>
        </is>
      </c>
      <c r="F2260" s="53" t="inlineStr">
        <is>
          <t>BUTLER</t>
        </is>
      </c>
      <c r="G2260" s="59" t="n"/>
      <c r="X2260" s="61" t="n"/>
      <c r="Y2260" s="61" t="n"/>
    </row>
    <row r="2261" ht="14.25" customHeight="1" s="86">
      <c r="E2261" s="53" t="inlineStr">
        <is>
          <t>PA</t>
        </is>
      </c>
      <c r="F2261" s="53" t="inlineStr">
        <is>
          <t>CAMBRIA</t>
        </is>
      </c>
      <c r="G2261" s="59" t="n"/>
      <c r="X2261" s="61" t="n"/>
      <c r="Y2261" s="61" t="n"/>
    </row>
    <row r="2262" ht="14.25" customHeight="1" s="86">
      <c r="E2262" s="53" t="inlineStr">
        <is>
          <t>PA</t>
        </is>
      </c>
      <c r="F2262" s="53" t="inlineStr">
        <is>
          <t>CAMERON</t>
        </is>
      </c>
      <c r="G2262" s="59" t="n"/>
      <c r="X2262" s="61" t="n"/>
      <c r="Y2262" s="61" t="n"/>
    </row>
    <row r="2263" ht="14.25" customHeight="1" s="86">
      <c r="E2263" s="53" t="inlineStr">
        <is>
          <t>PA</t>
        </is>
      </c>
      <c r="F2263" s="53" t="inlineStr">
        <is>
          <t>CARBON</t>
        </is>
      </c>
      <c r="G2263" s="59" t="n"/>
      <c r="X2263" s="61" t="n"/>
      <c r="Y2263" s="61" t="n"/>
    </row>
    <row r="2264" ht="14.25" customHeight="1" s="86">
      <c r="E2264" s="53" t="inlineStr">
        <is>
          <t>PA</t>
        </is>
      </c>
      <c r="F2264" s="53" t="inlineStr">
        <is>
          <t>CENTRE</t>
        </is>
      </c>
      <c r="G2264" s="59" t="n"/>
      <c r="X2264" s="61" t="n"/>
      <c r="Y2264" s="61" t="n"/>
    </row>
    <row r="2265" ht="14.25" customHeight="1" s="86">
      <c r="E2265" s="53" t="inlineStr">
        <is>
          <t>PA</t>
        </is>
      </c>
      <c r="F2265" s="53" t="inlineStr">
        <is>
          <t>CHESTER</t>
        </is>
      </c>
      <c r="G2265" s="59" t="n"/>
      <c r="X2265" s="61" t="n"/>
      <c r="Y2265" s="61" t="n"/>
    </row>
    <row r="2266" ht="14.25" customHeight="1" s="86">
      <c r="E2266" s="53" t="inlineStr">
        <is>
          <t>PA</t>
        </is>
      </c>
      <c r="F2266" s="53" t="inlineStr">
        <is>
          <t>CLARION</t>
        </is>
      </c>
      <c r="G2266" s="59" t="n"/>
      <c r="X2266" s="61" t="n"/>
      <c r="Y2266" s="61" t="n"/>
    </row>
    <row r="2267" ht="14.25" customHeight="1" s="86">
      <c r="E2267" s="53" t="inlineStr">
        <is>
          <t>PA</t>
        </is>
      </c>
      <c r="F2267" s="53" t="inlineStr">
        <is>
          <t>CLEARFIELD</t>
        </is>
      </c>
      <c r="G2267" s="59" t="n"/>
      <c r="X2267" s="61" t="n"/>
      <c r="Y2267" s="61" t="n"/>
    </row>
    <row r="2268" ht="14.25" customHeight="1" s="86">
      <c r="E2268" s="53" t="inlineStr">
        <is>
          <t>PA</t>
        </is>
      </c>
      <c r="F2268" s="53" t="inlineStr">
        <is>
          <t>CLINTON</t>
        </is>
      </c>
      <c r="G2268" s="59" t="n"/>
      <c r="X2268" s="61" t="n"/>
      <c r="Y2268" s="61" t="n"/>
    </row>
    <row r="2269" ht="14.25" customHeight="1" s="86">
      <c r="E2269" s="53" t="inlineStr">
        <is>
          <t>PA</t>
        </is>
      </c>
      <c r="F2269" s="53" t="inlineStr">
        <is>
          <t>COLUMBIA</t>
        </is>
      </c>
      <c r="G2269" s="59" t="n"/>
      <c r="X2269" s="61" t="n"/>
      <c r="Y2269" s="61" t="n"/>
    </row>
    <row r="2270" ht="14.25" customHeight="1" s="86">
      <c r="E2270" s="53" t="inlineStr">
        <is>
          <t>PA</t>
        </is>
      </c>
      <c r="F2270" s="53" t="inlineStr">
        <is>
          <t>CRAWFORD</t>
        </is>
      </c>
      <c r="G2270" s="59" t="n"/>
      <c r="X2270" s="61" t="n"/>
      <c r="Y2270" s="61" t="n"/>
    </row>
    <row r="2271" ht="14.25" customHeight="1" s="86">
      <c r="E2271" s="53" t="inlineStr">
        <is>
          <t>PA</t>
        </is>
      </c>
      <c r="F2271" s="53" t="inlineStr">
        <is>
          <t>CUMBERLAND</t>
        </is>
      </c>
      <c r="G2271" s="59" t="n"/>
      <c r="X2271" s="61" t="n"/>
      <c r="Y2271" s="61" t="n"/>
    </row>
    <row r="2272" ht="14.25" customHeight="1" s="86">
      <c r="E2272" s="53" t="inlineStr">
        <is>
          <t>PA</t>
        </is>
      </c>
      <c r="F2272" s="53" t="inlineStr">
        <is>
          <t>DAUPHIN</t>
        </is>
      </c>
      <c r="G2272" s="59" t="n"/>
      <c r="X2272" s="61" t="n"/>
      <c r="Y2272" s="61" t="n"/>
    </row>
    <row r="2273" ht="14.25" customHeight="1" s="86">
      <c r="E2273" s="53" t="inlineStr">
        <is>
          <t>PA</t>
        </is>
      </c>
      <c r="F2273" s="53" t="inlineStr">
        <is>
          <t>DELAWARE</t>
        </is>
      </c>
      <c r="G2273" s="59" t="n"/>
      <c r="X2273" s="61" t="n"/>
      <c r="Y2273" s="61" t="n"/>
    </row>
    <row r="2274" ht="14.25" customHeight="1" s="86">
      <c r="E2274" s="53" t="inlineStr">
        <is>
          <t>PA</t>
        </is>
      </c>
      <c r="F2274" s="53" t="inlineStr">
        <is>
          <t>ELK</t>
        </is>
      </c>
      <c r="G2274" s="59" t="n"/>
      <c r="X2274" s="61" t="n"/>
      <c r="Y2274" s="61" t="n"/>
    </row>
    <row r="2275" ht="14.25" customHeight="1" s="86">
      <c r="E2275" s="53" t="inlineStr">
        <is>
          <t>PA</t>
        </is>
      </c>
      <c r="F2275" s="53" t="inlineStr">
        <is>
          <t>ERIE</t>
        </is>
      </c>
      <c r="G2275" s="59" t="n"/>
      <c r="X2275" s="61" t="n"/>
      <c r="Y2275" s="61" t="n"/>
    </row>
    <row r="2276" ht="14.25" customHeight="1" s="86">
      <c r="E2276" s="53" t="inlineStr">
        <is>
          <t>PA</t>
        </is>
      </c>
      <c r="F2276" s="53" t="inlineStr">
        <is>
          <t>FAYETTE</t>
        </is>
      </c>
      <c r="G2276" s="59" t="n"/>
      <c r="X2276" s="61" t="n"/>
      <c r="Y2276" s="61" t="n"/>
    </row>
    <row r="2277" ht="14.25" customHeight="1" s="86">
      <c r="E2277" s="53" t="inlineStr">
        <is>
          <t>PA</t>
        </is>
      </c>
      <c r="F2277" s="53" t="inlineStr">
        <is>
          <t>FOREST</t>
        </is>
      </c>
      <c r="G2277" s="59" t="n"/>
      <c r="X2277" s="61" t="n"/>
      <c r="Y2277" s="61" t="n"/>
    </row>
    <row r="2278" ht="14.25" customHeight="1" s="86">
      <c r="E2278" s="53" t="inlineStr">
        <is>
          <t>PA</t>
        </is>
      </c>
      <c r="F2278" s="53" t="inlineStr">
        <is>
          <t>FRANKLIN</t>
        </is>
      </c>
      <c r="G2278" s="59" t="n"/>
      <c r="X2278" s="61" t="n"/>
      <c r="Y2278" s="61" t="n"/>
    </row>
    <row r="2279" ht="14.25" customHeight="1" s="86">
      <c r="E2279" s="53" t="inlineStr">
        <is>
          <t>PA</t>
        </is>
      </c>
      <c r="F2279" s="53" t="inlineStr">
        <is>
          <t>FULTON</t>
        </is>
      </c>
      <c r="G2279" s="59" t="n"/>
      <c r="X2279" s="61" t="n"/>
      <c r="Y2279" s="61" t="n"/>
    </row>
    <row r="2280" ht="14.25" customHeight="1" s="86">
      <c r="E2280" s="53" t="inlineStr">
        <is>
          <t>PA</t>
        </is>
      </c>
      <c r="F2280" s="53" t="inlineStr">
        <is>
          <t>GREENE</t>
        </is>
      </c>
      <c r="G2280" s="59" t="n"/>
      <c r="X2280" s="61" t="n"/>
      <c r="Y2280" s="61" t="n"/>
    </row>
    <row r="2281" ht="14.25" customHeight="1" s="86">
      <c r="E2281" s="53" t="inlineStr">
        <is>
          <t>PA</t>
        </is>
      </c>
      <c r="F2281" s="53" t="inlineStr">
        <is>
          <t>HUNTINGDON</t>
        </is>
      </c>
      <c r="G2281" s="59" t="n"/>
      <c r="X2281" s="61" t="n"/>
      <c r="Y2281" s="61" t="n"/>
    </row>
    <row r="2282" ht="14.25" customHeight="1" s="86">
      <c r="E2282" s="53" t="inlineStr">
        <is>
          <t>PA</t>
        </is>
      </c>
      <c r="F2282" s="53" t="inlineStr">
        <is>
          <t>INDIANA</t>
        </is>
      </c>
      <c r="G2282" s="59" t="n"/>
      <c r="X2282" s="61" t="n"/>
      <c r="Y2282" s="61" t="n"/>
    </row>
    <row r="2283" ht="14.25" customHeight="1" s="86">
      <c r="E2283" s="53" t="inlineStr">
        <is>
          <t>PA</t>
        </is>
      </c>
      <c r="F2283" s="53" t="inlineStr">
        <is>
          <t>JEFFERSON</t>
        </is>
      </c>
      <c r="G2283" s="59" t="n"/>
      <c r="X2283" s="61" t="n"/>
      <c r="Y2283" s="61" t="n"/>
    </row>
    <row r="2284" ht="14.25" customHeight="1" s="86">
      <c r="E2284" s="53" t="inlineStr">
        <is>
          <t>PA</t>
        </is>
      </c>
      <c r="F2284" s="53" t="inlineStr">
        <is>
          <t>JUNIATA</t>
        </is>
      </c>
      <c r="G2284" s="59" t="n"/>
      <c r="X2284" s="61" t="n"/>
      <c r="Y2284" s="61" t="n"/>
    </row>
    <row r="2285" ht="14.25" customHeight="1" s="86">
      <c r="E2285" s="53" t="inlineStr">
        <is>
          <t>PA</t>
        </is>
      </c>
      <c r="F2285" s="53" t="inlineStr">
        <is>
          <t>LACKAWANNA</t>
        </is>
      </c>
      <c r="G2285" s="59" t="n"/>
      <c r="X2285" s="61" t="n"/>
      <c r="Y2285" s="61" t="n"/>
    </row>
    <row r="2286" ht="14.25" customHeight="1" s="86">
      <c r="E2286" s="53" t="inlineStr">
        <is>
          <t>PA</t>
        </is>
      </c>
      <c r="F2286" s="53" t="inlineStr">
        <is>
          <t>LANCASTER</t>
        </is>
      </c>
      <c r="G2286" s="59" t="n"/>
      <c r="X2286" s="61" t="n"/>
      <c r="Y2286" s="61" t="n"/>
    </row>
    <row r="2287" ht="14.25" customHeight="1" s="86">
      <c r="E2287" s="53" t="inlineStr">
        <is>
          <t>PA</t>
        </is>
      </c>
      <c r="F2287" s="53" t="inlineStr">
        <is>
          <t>LAWRENCE</t>
        </is>
      </c>
      <c r="G2287" s="59" t="n"/>
      <c r="X2287" s="61" t="n"/>
      <c r="Y2287" s="61" t="n"/>
    </row>
    <row r="2288" ht="14.25" customHeight="1" s="86">
      <c r="E2288" s="53" t="inlineStr">
        <is>
          <t>PA</t>
        </is>
      </c>
      <c r="F2288" s="53" t="inlineStr">
        <is>
          <t>LEBANON</t>
        </is>
      </c>
      <c r="G2288" s="59" t="n"/>
      <c r="X2288" s="61" t="n"/>
      <c r="Y2288" s="61" t="n"/>
    </row>
    <row r="2289" ht="14.25" customHeight="1" s="86">
      <c r="E2289" s="53" t="inlineStr">
        <is>
          <t>PA</t>
        </is>
      </c>
      <c r="F2289" s="53" t="inlineStr">
        <is>
          <t>LEHIGH</t>
        </is>
      </c>
      <c r="G2289" s="59" t="n"/>
      <c r="X2289" s="61" t="n"/>
      <c r="Y2289" s="61" t="n"/>
    </row>
    <row r="2290" ht="14.25" customHeight="1" s="86">
      <c r="E2290" s="53" t="inlineStr">
        <is>
          <t>PA</t>
        </is>
      </c>
      <c r="F2290" s="53" t="inlineStr">
        <is>
          <t>LUZERNE</t>
        </is>
      </c>
      <c r="G2290" s="59" t="n"/>
      <c r="X2290" s="61" t="n"/>
      <c r="Y2290" s="61" t="n"/>
    </row>
    <row r="2291" ht="14.25" customHeight="1" s="86">
      <c r="E2291" s="53" t="inlineStr">
        <is>
          <t>PA</t>
        </is>
      </c>
      <c r="F2291" s="53" t="inlineStr">
        <is>
          <t>LYCOMING</t>
        </is>
      </c>
      <c r="G2291" s="59" t="n"/>
      <c r="X2291" s="61" t="n"/>
      <c r="Y2291" s="61" t="n"/>
    </row>
    <row r="2292" ht="14.25" customHeight="1" s="86">
      <c r="E2292" s="53" t="inlineStr">
        <is>
          <t>PA</t>
        </is>
      </c>
      <c r="F2292" s="53" t="inlineStr">
        <is>
          <t>MCKEAN</t>
        </is>
      </c>
      <c r="G2292" s="59" t="n"/>
      <c r="X2292" s="61" t="n"/>
      <c r="Y2292" s="61" t="n"/>
    </row>
    <row r="2293" ht="14.25" customHeight="1" s="86">
      <c r="E2293" s="53" t="inlineStr">
        <is>
          <t>PA</t>
        </is>
      </c>
      <c r="F2293" s="53" t="inlineStr">
        <is>
          <t>MERCER</t>
        </is>
      </c>
      <c r="G2293" s="59" t="n"/>
      <c r="X2293" s="61" t="n"/>
      <c r="Y2293" s="61" t="n"/>
    </row>
    <row r="2294" ht="14.25" customHeight="1" s="86">
      <c r="E2294" s="53" t="inlineStr">
        <is>
          <t>PA</t>
        </is>
      </c>
      <c r="F2294" s="53" t="inlineStr">
        <is>
          <t>MIFFLIN</t>
        </is>
      </c>
      <c r="G2294" s="59" t="n"/>
      <c r="X2294" s="61" t="n"/>
      <c r="Y2294" s="61" t="n"/>
    </row>
    <row r="2295" ht="14.25" customHeight="1" s="86">
      <c r="E2295" s="53" t="inlineStr">
        <is>
          <t>PA</t>
        </is>
      </c>
      <c r="F2295" s="53" t="inlineStr">
        <is>
          <t>MONROE</t>
        </is>
      </c>
      <c r="G2295" s="59" t="n"/>
      <c r="X2295" s="61" t="n"/>
      <c r="Y2295" s="61" t="n"/>
    </row>
    <row r="2296" ht="14.25" customHeight="1" s="86">
      <c r="E2296" s="53" t="inlineStr">
        <is>
          <t>PA</t>
        </is>
      </c>
      <c r="F2296" s="53" t="inlineStr">
        <is>
          <t>MONTGOMERY</t>
        </is>
      </c>
      <c r="G2296" s="59" t="n"/>
      <c r="X2296" s="61" t="n"/>
      <c r="Y2296" s="61" t="n"/>
    </row>
    <row r="2297" ht="14.25" customHeight="1" s="86">
      <c r="E2297" s="53" t="inlineStr">
        <is>
          <t>PA</t>
        </is>
      </c>
      <c r="F2297" s="53" t="inlineStr">
        <is>
          <t>MONTOUR</t>
        </is>
      </c>
      <c r="G2297" s="59" t="n"/>
      <c r="X2297" s="61" t="n"/>
      <c r="Y2297" s="61" t="n"/>
    </row>
    <row r="2298" ht="14.25" customHeight="1" s="86">
      <c r="E2298" s="53" t="inlineStr">
        <is>
          <t>PA</t>
        </is>
      </c>
      <c r="F2298" s="53" t="inlineStr">
        <is>
          <t>NORTHAMPTON</t>
        </is>
      </c>
      <c r="G2298" s="59" t="n"/>
      <c r="X2298" s="61" t="n"/>
      <c r="Y2298" s="61" t="n"/>
    </row>
    <row r="2299" ht="14.25" customHeight="1" s="86">
      <c r="E2299" s="53" t="inlineStr">
        <is>
          <t>PA</t>
        </is>
      </c>
      <c r="F2299" s="53" t="inlineStr">
        <is>
          <t>NORTHUMBERLAND</t>
        </is>
      </c>
      <c r="G2299" s="59" t="n"/>
      <c r="X2299" s="61" t="n"/>
      <c r="Y2299" s="61" t="n"/>
    </row>
    <row r="2300" ht="14.25" customHeight="1" s="86">
      <c r="E2300" s="53" t="inlineStr">
        <is>
          <t>PA</t>
        </is>
      </c>
      <c r="F2300" s="53" t="inlineStr">
        <is>
          <t>PERRY</t>
        </is>
      </c>
      <c r="G2300" s="59" t="n"/>
      <c r="X2300" s="61" t="n"/>
      <c r="Y2300" s="61" t="n"/>
    </row>
    <row r="2301" ht="14.25" customHeight="1" s="86">
      <c r="E2301" s="53" t="inlineStr">
        <is>
          <t>PA</t>
        </is>
      </c>
      <c r="F2301" s="53" t="inlineStr">
        <is>
          <t>PHILADELPHIA</t>
        </is>
      </c>
      <c r="G2301" s="59" t="n"/>
      <c r="X2301" s="61" t="n"/>
      <c r="Y2301" s="61" t="n"/>
    </row>
    <row r="2302" ht="14.25" customHeight="1" s="86">
      <c r="E2302" s="53" t="inlineStr">
        <is>
          <t>PA</t>
        </is>
      </c>
      <c r="F2302" s="53" t="inlineStr">
        <is>
          <t>PIKE</t>
        </is>
      </c>
      <c r="G2302" s="59" t="n"/>
      <c r="X2302" s="61" t="n"/>
      <c r="Y2302" s="61" t="n"/>
    </row>
    <row r="2303" ht="14.25" customHeight="1" s="86">
      <c r="E2303" s="53" t="inlineStr">
        <is>
          <t>PA</t>
        </is>
      </c>
      <c r="F2303" s="53" t="inlineStr">
        <is>
          <t>POTTER</t>
        </is>
      </c>
      <c r="G2303" s="59" t="n"/>
      <c r="X2303" s="61" t="n"/>
      <c r="Y2303" s="61" t="n"/>
    </row>
    <row r="2304" ht="14.25" customHeight="1" s="86">
      <c r="E2304" s="53" t="inlineStr">
        <is>
          <t>PA</t>
        </is>
      </c>
      <c r="F2304" s="53" t="inlineStr">
        <is>
          <t>SCHUYLKILL</t>
        </is>
      </c>
      <c r="G2304" s="59" t="n"/>
      <c r="X2304" s="61" t="n"/>
      <c r="Y2304" s="61" t="n"/>
    </row>
    <row r="2305" ht="14.25" customHeight="1" s="86">
      <c r="E2305" s="53" t="inlineStr">
        <is>
          <t>PA</t>
        </is>
      </c>
      <c r="F2305" s="53" t="inlineStr">
        <is>
          <t>SNYDER</t>
        </is>
      </c>
      <c r="G2305" s="59" t="n"/>
      <c r="X2305" s="61" t="n"/>
      <c r="Y2305" s="61" t="n"/>
    </row>
    <row r="2306" ht="14.25" customHeight="1" s="86">
      <c r="E2306" s="53" t="inlineStr">
        <is>
          <t>PA</t>
        </is>
      </c>
      <c r="F2306" s="53" t="inlineStr">
        <is>
          <t>SOMERSET</t>
        </is>
      </c>
      <c r="G2306" s="59" t="n"/>
      <c r="X2306" s="61" t="n"/>
      <c r="Y2306" s="61" t="n"/>
    </row>
    <row r="2307" ht="14.25" customHeight="1" s="86">
      <c r="E2307" s="53" t="inlineStr">
        <is>
          <t>PA</t>
        </is>
      </c>
      <c r="F2307" s="53" t="inlineStr">
        <is>
          <t>SULLIVAN</t>
        </is>
      </c>
      <c r="G2307" s="59" t="n"/>
      <c r="X2307" s="61" t="n"/>
      <c r="Y2307" s="61" t="n"/>
    </row>
    <row r="2308" ht="14.25" customHeight="1" s="86">
      <c r="E2308" s="53" t="inlineStr">
        <is>
          <t>PA</t>
        </is>
      </c>
      <c r="F2308" s="53" t="inlineStr">
        <is>
          <t>SUSQUEHANNA</t>
        </is>
      </c>
      <c r="G2308" s="59" t="n"/>
      <c r="X2308" s="61" t="n"/>
      <c r="Y2308" s="61" t="n"/>
    </row>
    <row r="2309" ht="14.25" customHeight="1" s="86">
      <c r="E2309" s="53" t="inlineStr">
        <is>
          <t>PA</t>
        </is>
      </c>
      <c r="F2309" s="53" t="inlineStr">
        <is>
          <t>TIOGA</t>
        </is>
      </c>
      <c r="G2309" s="59" t="n"/>
      <c r="X2309" s="61" t="n"/>
      <c r="Y2309" s="61" t="n"/>
    </row>
    <row r="2310" ht="14.25" customHeight="1" s="86">
      <c r="E2310" s="53" t="inlineStr">
        <is>
          <t>PA</t>
        </is>
      </c>
      <c r="F2310" s="53" t="inlineStr">
        <is>
          <t>UNION</t>
        </is>
      </c>
      <c r="G2310" s="59" t="n"/>
      <c r="X2310" s="61" t="n"/>
      <c r="Y2310" s="61" t="n"/>
    </row>
    <row r="2311" ht="14.25" customHeight="1" s="86">
      <c r="E2311" s="53" t="inlineStr">
        <is>
          <t>PA</t>
        </is>
      </c>
      <c r="F2311" s="53" t="inlineStr">
        <is>
          <t>VENANGO</t>
        </is>
      </c>
      <c r="G2311" s="59" t="n"/>
      <c r="X2311" s="61" t="n"/>
      <c r="Y2311" s="61" t="n"/>
    </row>
    <row r="2312" ht="14.25" customHeight="1" s="86">
      <c r="E2312" s="53" t="inlineStr">
        <is>
          <t>PA</t>
        </is>
      </c>
      <c r="F2312" s="53" t="inlineStr">
        <is>
          <t>WARREN</t>
        </is>
      </c>
      <c r="G2312" s="59" t="n"/>
      <c r="X2312" s="61" t="n"/>
      <c r="Y2312" s="61" t="n"/>
    </row>
    <row r="2313" ht="14.25" customHeight="1" s="86">
      <c r="E2313" s="53" t="inlineStr">
        <is>
          <t>PA</t>
        </is>
      </c>
      <c r="F2313" s="53" t="inlineStr">
        <is>
          <t>WASHINGTON</t>
        </is>
      </c>
      <c r="G2313" s="59" t="n"/>
      <c r="X2313" s="61" t="n"/>
      <c r="Y2313" s="61" t="n"/>
    </row>
    <row r="2314" ht="14.25" customHeight="1" s="86">
      <c r="E2314" s="53" t="inlineStr">
        <is>
          <t>PA</t>
        </is>
      </c>
      <c r="F2314" s="53" t="inlineStr">
        <is>
          <t>WAYNE</t>
        </is>
      </c>
      <c r="G2314" s="59" t="n"/>
      <c r="X2314" s="61" t="n"/>
      <c r="Y2314" s="61" t="n"/>
    </row>
    <row r="2315" ht="14.25" customHeight="1" s="86">
      <c r="E2315" s="53" t="inlineStr">
        <is>
          <t>PA</t>
        </is>
      </c>
      <c r="F2315" s="53" t="inlineStr">
        <is>
          <t>WESTMORELAND</t>
        </is>
      </c>
      <c r="G2315" s="59" t="n"/>
      <c r="X2315" s="61" t="n"/>
      <c r="Y2315" s="61" t="n"/>
    </row>
    <row r="2316" ht="14.25" customHeight="1" s="86">
      <c r="E2316" s="53" t="inlineStr">
        <is>
          <t>PA</t>
        </is>
      </c>
      <c r="F2316" s="53" t="inlineStr">
        <is>
          <t>WYOMING</t>
        </is>
      </c>
      <c r="G2316" s="59" t="n"/>
      <c r="X2316" s="61" t="n"/>
      <c r="Y2316" s="61" t="n"/>
    </row>
    <row r="2317" ht="14.25" customHeight="1" s="86">
      <c r="E2317" s="53" t="inlineStr">
        <is>
          <t>PA</t>
        </is>
      </c>
      <c r="F2317" s="53" t="inlineStr">
        <is>
          <t>YORK</t>
        </is>
      </c>
      <c r="G2317" s="59" t="n"/>
      <c r="X2317" s="61" t="n"/>
      <c r="Y2317" s="61" t="n"/>
    </row>
    <row r="2318" ht="14.25" customHeight="1" s="86">
      <c r="E2318" s="53" t="inlineStr">
        <is>
          <t>PR</t>
        </is>
      </c>
      <c r="F2318" s="53" t="inlineStr">
        <is>
          <t>ADJUNTAS</t>
        </is>
      </c>
      <c r="G2318" s="59" t="n"/>
      <c r="X2318" s="61" t="n"/>
      <c r="Y2318" s="61" t="n"/>
    </row>
    <row r="2319" ht="14.25" customHeight="1" s="86">
      <c r="E2319" s="53" t="inlineStr">
        <is>
          <t>PR</t>
        </is>
      </c>
      <c r="F2319" s="53" t="inlineStr">
        <is>
          <t>AGUADA</t>
        </is>
      </c>
      <c r="G2319" s="59" t="n"/>
      <c r="X2319" s="61" t="n"/>
      <c r="Y2319" s="61" t="n"/>
    </row>
    <row r="2320" ht="14.25" customHeight="1" s="86">
      <c r="E2320" s="53" t="inlineStr">
        <is>
          <t>PR</t>
        </is>
      </c>
      <c r="F2320" s="53" t="inlineStr">
        <is>
          <t>AGUADILLA</t>
        </is>
      </c>
      <c r="G2320" s="59" t="n"/>
      <c r="X2320" s="61" t="n"/>
      <c r="Y2320" s="61" t="n"/>
    </row>
    <row r="2321" ht="14.25" customHeight="1" s="86">
      <c r="E2321" s="53" t="inlineStr">
        <is>
          <t>PR</t>
        </is>
      </c>
      <c r="F2321" s="53" t="inlineStr">
        <is>
          <t>AGUAS BUENAS</t>
        </is>
      </c>
      <c r="G2321" s="59" t="n"/>
      <c r="X2321" s="61" t="n"/>
      <c r="Y2321" s="61" t="n"/>
    </row>
    <row r="2322" ht="14.25" customHeight="1" s="86">
      <c r="E2322" s="53" t="inlineStr">
        <is>
          <t>PR</t>
        </is>
      </c>
      <c r="F2322" s="53" t="inlineStr">
        <is>
          <t>AIBONITO</t>
        </is>
      </c>
      <c r="G2322" s="59" t="n"/>
      <c r="X2322" s="61" t="n"/>
      <c r="Y2322" s="61" t="n"/>
    </row>
    <row r="2323" ht="14.25" customHeight="1" s="86">
      <c r="E2323" s="53" t="inlineStr">
        <is>
          <t>PR</t>
        </is>
      </c>
      <c r="F2323" s="53" t="inlineStr">
        <is>
          <t>ANASCO</t>
        </is>
      </c>
      <c r="G2323" s="59" t="n"/>
      <c r="X2323" s="61" t="n"/>
      <c r="Y2323" s="61" t="n"/>
    </row>
    <row r="2324" ht="14.25" customHeight="1" s="86">
      <c r="E2324" s="53" t="inlineStr">
        <is>
          <t>PR</t>
        </is>
      </c>
      <c r="F2324" s="53" t="inlineStr">
        <is>
          <t>ARECIBO</t>
        </is>
      </c>
      <c r="G2324" s="59" t="n"/>
      <c r="X2324" s="61" t="n"/>
      <c r="Y2324" s="61" t="n"/>
    </row>
    <row r="2325" ht="14.25" customHeight="1" s="86">
      <c r="E2325" s="53" t="inlineStr">
        <is>
          <t>PR</t>
        </is>
      </c>
      <c r="F2325" s="53" t="inlineStr">
        <is>
          <t>ARROYO</t>
        </is>
      </c>
      <c r="G2325" s="59" t="n"/>
      <c r="X2325" s="61" t="n"/>
      <c r="Y2325" s="61" t="n"/>
    </row>
    <row r="2326" ht="14.25" customHeight="1" s="86">
      <c r="E2326" s="53" t="inlineStr">
        <is>
          <t>PR</t>
        </is>
      </c>
      <c r="F2326" s="53" t="inlineStr">
        <is>
          <t>BARCELONETA</t>
        </is>
      </c>
      <c r="G2326" s="59" t="n"/>
      <c r="X2326" s="61" t="n"/>
      <c r="Y2326" s="61" t="n"/>
    </row>
    <row r="2327" ht="14.25" customHeight="1" s="86">
      <c r="E2327" s="53" t="inlineStr">
        <is>
          <t>PR</t>
        </is>
      </c>
      <c r="F2327" s="53" t="inlineStr">
        <is>
          <t>BARRANQUITAS</t>
        </is>
      </c>
      <c r="G2327" s="59" t="n"/>
      <c r="X2327" s="61" t="n"/>
      <c r="Y2327" s="61" t="n"/>
    </row>
    <row r="2328" ht="14.25" customHeight="1" s="86">
      <c r="E2328" s="53" t="inlineStr">
        <is>
          <t>PR</t>
        </is>
      </c>
      <c r="F2328" s="53" t="inlineStr">
        <is>
          <t>BAYAMON</t>
        </is>
      </c>
      <c r="G2328" s="59" t="n"/>
      <c r="X2328" s="61" t="n"/>
      <c r="Y2328" s="61" t="n"/>
    </row>
    <row r="2329" ht="14.25" customHeight="1" s="86">
      <c r="E2329" s="53" t="inlineStr">
        <is>
          <t>PR</t>
        </is>
      </c>
      <c r="F2329" s="53" t="inlineStr">
        <is>
          <t>CABO ROJO</t>
        </is>
      </c>
      <c r="G2329" s="59" t="n"/>
      <c r="X2329" s="61" t="n"/>
      <c r="Y2329" s="61" t="n"/>
    </row>
    <row r="2330" ht="14.25" customHeight="1" s="86">
      <c r="E2330" s="53" t="inlineStr">
        <is>
          <t>PR</t>
        </is>
      </c>
      <c r="F2330" s="53" t="inlineStr">
        <is>
          <t>CAGUAS</t>
        </is>
      </c>
      <c r="G2330" s="59" t="n"/>
      <c r="X2330" s="61" t="n"/>
      <c r="Y2330" s="61" t="n"/>
    </row>
    <row r="2331" ht="14.25" customHeight="1" s="86">
      <c r="E2331" s="53" t="inlineStr">
        <is>
          <t>PR</t>
        </is>
      </c>
      <c r="F2331" s="53" t="inlineStr">
        <is>
          <t>CAMUY</t>
        </is>
      </c>
      <c r="G2331" s="59" t="n"/>
      <c r="X2331" s="61" t="n"/>
      <c r="Y2331" s="61" t="n"/>
    </row>
    <row r="2332" ht="14.25" customHeight="1" s="86">
      <c r="E2332" s="53" t="inlineStr">
        <is>
          <t>PR</t>
        </is>
      </c>
      <c r="F2332" s="53" t="inlineStr">
        <is>
          <t>CANOVANAS</t>
        </is>
      </c>
      <c r="G2332" s="59" t="n"/>
      <c r="X2332" s="61" t="n"/>
      <c r="Y2332" s="61" t="n"/>
    </row>
    <row r="2333" ht="14.25" customHeight="1" s="86">
      <c r="E2333" s="53" t="inlineStr">
        <is>
          <t>PR</t>
        </is>
      </c>
      <c r="F2333" s="53" t="inlineStr">
        <is>
          <t>CAROLINA</t>
        </is>
      </c>
      <c r="G2333" s="59" t="n"/>
      <c r="X2333" s="61" t="n"/>
      <c r="Y2333" s="61" t="n"/>
    </row>
    <row r="2334" ht="14.25" customHeight="1" s="86">
      <c r="E2334" s="53" t="inlineStr">
        <is>
          <t>PR</t>
        </is>
      </c>
      <c r="F2334" s="53" t="inlineStr">
        <is>
          <t>CATANO</t>
        </is>
      </c>
      <c r="G2334" s="59" t="n"/>
      <c r="X2334" s="61" t="n"/>
      <c r="Y2334" s="61" t="n"/>
    </row>
    <row r="2335" ht="14.25" customHeight="1" s="86">
      <c r="E2335" s="53" t="inlineStr">
        <is>
          <t>PR</t>
        </is>
      </c>
      <c r="F2335" s="53" t="inlineStr">
        <is>
          <t>CAYEY</t>
        </is>
      </c>
      <c r="G2335" s="59" t="n"/>
      <c r="X2335" s="61" t="n"/>
      <c r="Y2335" s="61" t="n"/>
    </row>
    <row r="2336" ht="14.25" customHeight="1" s="86">
      <c r="E2336" s="53" t="inlineStr">
        <is>
          <t>PR</t>
        </is>
      </c>
      <c r="F2336" s="53" t="inlineStr">
        <is>
          <t>CEIBA</t>
        </is>
      </c>
      <c r="G2336" s="59" t="n"/>
      <c r="X2336" s="61" t="n"/>
      <c r="Y2336" s="61" t="n"/>
    </row>
    <row r="2337" ht="14.25" customHeight="1" s="86">
      <c r="E2337" s="53" t="inlineStr">
        <is>
          <t>PR</t>
        </is>
      </c>
      <c r="F2337" s="53" t="inlineStr">
        <is>
          <t>CIALES</t>
        </is>
      </c>
      <c r="G2337" s="59" t="n"/>
      <c r="X2337" s="61" t="n"/>
      <c r="Y2337" s="61" t="n"/>
    </row>
    <row r="2338" ht="14.25" customHeight="1" s="86">
      <c r="E2338" s="53" t="inlineStr">
        <is>
          <t>PR</t>
        </is>
      </c>
      <c r="F2338" s="53" t="inlineStr">
        <is>
          <t>CIDRA</t>
        </is>
      </c>
      <c r="G2338" s="59" t="n"/>
      <c r="X2338" s="61" t="n"/>
      <c r="Y2338" s="61" t="n"/>
    </row>
    <row r="2339" ht="14.25" customHeight="1" s="86">
      <c r="E2339" s="53" t="inlineStr">
        <is>
          <t>PR</t>
        </is>
      </c>
      <c r="F2339" s="53" t="inlineStr">
        <is>
          <t>COAMO</t>
        </is>
      </c>
      <c r="G2339" s="59" t="n"/>
      <c r="X2339" s="61" t="n"/>
      <c r="Y2339" s="61" t="n"/>
    </row>
    <row r="2340" ht="14.25" customHeight="1" s="86">
      <c r="E2340" s="53" t="inlineStr">
        <is>
          <t>PR</t>
        </is>
      </c>
      <c r="F2340" s="53" t="inlineStr">
        <is>
          <t>COMERIO</t>
        </is>
      </c>
      <c r="G2340" s="59" t="n"/>
      <c r="X2340" s="61" t="n"/>
      <c r="Y2340" s="61" t="n"/>
    </row>
    <row r="2341" ht="14.25" customHeight="1" s="86">
      <c r="E2341" s="53" t="inlineStr">
        <is>
          <t>PR</t>
        </is>
      </c>
      <c r="F2341" s="53" t="inlineStr">
        <is>
          <t>COROZAL</t>
        </is>
      </c>
      <c r="G2341" s="59" t="n"/>
      <c r="X2341" s="61" t="n"/>
      <c r="Y2341" s="61" t="n"/>
    </row>
    <row r="2342" ht="14.25" customHeight="1" s="86">
      <c r="E2342" s="53" t="inlineStr">
        <is>
          <t>PR</t>
        </is>
      </c>
      <c r="F2342" s="53" t="inlineStr">
        <is>
          <t>CULEBRA</t>
        </is>
      </c>
      <c r="G2342" s="59" t="n"/>
      <c r="X2342" s="61" t="n"/>
      <c r="Y2342" s="61" t="n"/>
    </row>
    <row r="2343" ht="14.25" customHeight="1" s="86">
      <c r="E2343" s="53" t="inlineStr">
        <is>
          <t>PR</t>
        </is>
      </c>
      <c r="F2343" s="53" t="inlineStr">
        <is>
          <t>DORADO</t>
        </is>
      </c>
      <c r="G2343" s="59" t="n"/>
      <c r="X2343" s="61" t="n"/>
      <c r="Y2343" s="61" t="n"/>
    </row>
    <row r="2344" ht="14.25" customHeight="1" s="86">
      <c r="E2344" s="53" t="inlineStr">
        <is>
          <t>PR</t>
        </is>
      </c>
      <c r="F2344" s="53" t="inlineStr">
        <is>
          <t>FAJARDO</t>
        </is>
      </c>
      <c r="G2344" s="59" t="n"/>
      <c r="X2344" s="61" t="n"/>
      <c r="Y2344" s="61" t="n"/>
    </row>
    <row r="2345" ht="14.25" customHeight="1" s="86">
      <c r="E2345" s="53" t="inlineStr">
        <is>
          <t>PR</t>
        </is>
      </c>
      <c r="F2345" s="53" t="inlineStr">
        <is>
          <t>FLORIDA</t>
        </is>
      </c>
      <c r="G2345" s="59" t="n"/>
      <c r="X2345" s="61" t="n"/>
      <c r="Y2345" s="61" t="n"/>
    </row>
    <row r="2346" ht="14.25" customHeight="1" s="86">
      <c r="E2346" s="53" t="inlineStr">
        <is>
          <t>PR</t>
        </is>
      </c>
      <c r="F2346" s="53" t="inlineStr">
        <is>
          <t>GUANICA</t>
        </is>
      </c>
      <c r="G2346" s="59" t="n"/>
      <c r="X2346" s="61" t="n"/>
      <c r="Y2346" s="61" t="n"/>
    </row>
    <row r="2347" ht="14.25" customHeight="1" s="86">
      <c r="E2347" s="53" t="inlineStr">
        <is>
          <t>PR</t>
        </is>
      </c>
      <c r="F2347" s="53" t="inlineStr">
        <is>
          <t>GUAYAMA</t>
        </is>
      </c>
      <c r="G2347" s="59" t="n"/>
      <c r="X2347" s="61" t="n"/>
      <c r="Y2347" s="61" t="n"/>
    </row>
    <row r="2348" ht="14.25" customHeight="1" s="86">
      <c r="E2348" s="53" t="inlineStr">
        <is>
          <t>PR</t>
        </is>
      </c>
      <c r="F2348" s="53" t="inlineStr">
        <is>
          <t>GUAYANILLA</t>
        </is>
      </c>
      <c r="G2348" s="59" t="n"/>
      <c r="X2348" s="61" t="n"/>
      <c r="Y2348" s="61" t="n"/>
    </row>
    <row r="2349" ht="14.25" customHeight="1" s="86">
      <c r="E2349" s="53" t="inlineStr">
        <is>
          <t>PR</t>
        </is>
      </c>
      <c r="F2349" s="53" t="inlineStr">
        <is>
          <t>GUAYNABO</t>
        </is>
      </c>
      <c r="G2349" s="59" t="n"/>
      <c r="X2349" s="61" t="n"/>
      <c r="Y2349" s="61" t="n"/>
    </row>
    <row r="2350" ht="14.25" customHeight="1" s="86">
      <c r="E2350" s="53" t="inlineStr">
        <is>
          <t>PR</t>
        </is>
      </c>
      <c r="F2350" s="53" t="inlineStr">
        <is>
          <t>GURABO</t>
        </is>
      </c>
      <c r="G2350" s="59" t="n"/>
      <c r="X2350" s="61" t="n"/>
      <c r="Y2350" s="61" t="n"/>
    </row>
    <row r="2351" ht="14.25" customHeight="1" s="86">
      <c r="E2351" s="53" t="inlineStr">
        <is>
          <t>PR</t>
        </is>
      </c>
      <c r="F2351" s="53" t="inlineStr">
        <is>
          <t>HATILLO</t>
        </is>
      </c>
      <c r="G2351" s="59" t="n"/>
      <c r="X2351" s="61" t="n"/>
      <c r="Y2351" s="61" t="n"/>
    </row>
    <row r="2352" ht="14.25" customHeight="1" s="86">
      <c r="E2352" s="53" t="inlineStr">
        <is>
          <t>PR</t>
        </is>
      </c>
      <c r="F2352" s="53" t="inlineStr">
        <is>
          <t>HORMIGUEROS</t>
        </is>
      </c>
      <c r="G2352" s="59" t="n"/>
      <c r="X2352" s="61" t="n"/>
      <c r="Y2352" s="61" t="n"/>
    </row>
    <row r="2353" ht="14.25" customHeight="1" s="86">
      <c r="E2353" s="53" t="inlineStr">
        <is>
          <t>PR</t>
        </is>
      </c>
      <c r="F2353" s="53" t="inlineStr">
        <is>
          <t>HUMACAO</t>
        </is>
      </c>
      <c r="G2353" s="59" t="n"/>
      <c r="X2353" s="61" t="n"/>
      <c r="Y2353" s="61" t="n"/>
    </row>
    <row r="2354" ht="14.25" customHeight="1" s="86">
      <c r="E2354" s="53" t="inlineStr">
        <is>
          <t>PR</t>
        </is>
      </c>
      <c r="F2354" s="53" t="inlineStr">
        <is>
          <t>ISABELA</t>
        </is>
      </c>
      <c r="G2354" s="59" t="n"/>
      <c r="X2354" s="61" t="n"/>
      <c r="Y2354" s="61" t="n"/>
    </row>
    <row r="2355" ht="14.25" customHeight="1" s="86">
      <c r="E2355" s="53" t="inlineStr">
        <is>
          <t>PR</t>
        </is>
      </c>
      <c r="F2355" s="53" t="inlineStr">
        <is>
          <t>JAYUYA</t>
        </is>
      </c>
      <c r="G2355" s="59" t="n"/>
      <c r="X2355" s="61" t="n"/>
      <c r="Y2355" s="61" t="n"/>
    </row>
    <row r="2356" ht="14.25" customHeight="1" s="86">
      <c r="E2356" s="53" t="inlineStr">
        <is>
          <t>PR</t>
        </is>
      </c>
      <c r="F2356" s="53" t="inlineStr">
        <is>
          <t>JUANA DIAZ</t>
        </is>
      </c>
      <c r="G2356" s="59" t="n"/>
      <c r="X2356" s="61" t="n"/>
      <c r="Y2356" s="61" t="n"/>
    </row>
    <row r="2357" ht="14.25" customHeight="1" s="86">
      <c r="E2357" s="53" t="inlineStr">
        <is>
          <t>PR</t>
        </is>
      </c>
      <c r="F2357" s="53" t="inlineStr">
        <is>
          <t>JUNCOS</t>
        </is>
      </c>
      <c r="G2357" s="59" t="n"/>
      <c r="X2357" s="61" t="n"/>
      <c r="Y2357" s="61" t="n"/>
    </row>
    <row r="2358" ht="14.25" customHeight="1" s="86">
      <c r="E2358" s="53" t="inlineStr">
        <is>
          <t>PR</t>
        </is>
      </c>
      <c r="F2358" s="53" t="inlineStr">
        <is>
          <t>LAJAS</t>
        </is>
      </c>
      <c r="G2358" s="59" t="n"/>
      <c r="X2358" s="61" t="n"/>
      <c r="Y2358" s="61" t="n"/>
    </row>
    <row r="2359" ht="14.25" customHeight="1" s="86">
      <c r="E2359" s="53" t="inlineStr">
        <is>
          <t>PR</t>
        </is>
      </c>
      <c r="F2359" s="53" t="inlineStr">
        <is>
          <t>LARES</t>
        </is>
      </c>
      <c r="G2359" s="59" t="n"/>
      <c r="X2359" s="61" t="n"/>
      <c r="Y2359" s="61" t="n"/>
    </row>
    <row r="2360" ht="14.25" customHeight="1" s="86">
      <c r="E2360" s="53" t="inlineStr">
        <is>
          <t>PR</t>
        </is>
      </c>
      <c r="F2360" s="53" t="inlineStr">
        <is>
          <t>LAS MARIAS</t>
        </is>
      </c>
      <c r="G2360" s="59" t="n"/>
      <c r="X2360" s="61" t="n"/>
      <c r="Y2360" s="61" t="n"/>
    </row>
    <row r="2361" ht="14.25" customHeight="1" s="86">
      <c r="E2361" s="53" t="inlineStr">
        <is>
          <t>PR</t>
        </is>
      </c>
      <c r="F2361" s="53" t="inlineStr">
        <is>
          <t>LAS PIEDRAS</t>
        </is>
      </c>
      <c r="G2361" s="59" t="n"/>
      <c r="X2361" s="61" t="n"/>
      <c r="Y2361" s="61" t="n"/>
    </row>
    <row r="2362" ht="14.25" customHeight="1" s="86">
      <c r="E2362" s="53" t="inlineStr">
        <is>
          <t>PR</t>
        </is>
      </c>
      <c r="F2362" s="53" t="inlineStr">
        <is>
          <t>LOIZA</t>
        </is>
      </c>
      <c r="G2362" s="59" t="n"/>
      <c r="X2362" s="61" t="n"/>
      <c r="Y2362" s="61" t="n"/>
    </row>
    <row r="2363" ht="14.25" customHeight="1" s="86">
      <c r="E2363" s="53" t="inlineStr">
        <is>
          <t>PR</t>
        </is>
      </c>
      <c r="F2363" s="53" t="inlineStr">
        <is>
          <t>LUQUILLO</t>
        </is>
      </c>
      <c r="G2363" s="59" t="n"/>
      <c r="X2363" s="61" t="n"/>
      <c r="Y2363" s="61" t="n"/>
    </row>
    <row r="2364" ht="14.25" customHeight="1" s="86">
      <c r="E2364" s="53" t="inlineStr">
        <is>
          <t>PR</t>
        </is>
      </c>
      <c r="F2364" s="53" t="inlineStr">
        <is>
          <t>MANATI</t>
        </is>
      </c>
      <c r="G2364" s="59" t="n"/>
      <c r="X2364" s="61" t="n"/>
      <c r="Y2364" s="61" t="n"/>
    </row>
    <row r="2365" ht="14.25" customHeight="1" s="86">
      <c r="E2365" s="53" t="inlineStr">
        <is>
          <t>PR</t>
        </is>
      </c>
      <c r="F2365" s="53" t="inlineStr">
        <is>
          <t>MARICAO</t>
        </is>
      </c>
      <c r="G2365" s="59" t="n"/>
      <c r="X2365" s="61" t="n"/>
      <c r="Y2365" s="61" t="n"/>
    </row>
    <row r="2366" ht="14.25" customHeight="1" s="86">
      <c r="E2366" s="53" t="inlineStr">
        <is>
          <t>PR</t>
        </is>
      </c>
      <c r="F2366" s="53" t="inlineStr">
        <is>
          <t>MAUNABO</t>
        </is>
      </c>
      <c r="G2366" s="59" t="n"/>
      <c r="X2366" s="61" t="n"/>
      <c r="Y2366" s="61" t="n"/>
    </row>
    <row r="2367" ht="14.25" customHeight="1" s="86">
      <c r="E2367" s="53" t="inlineStr">
        <is>
          <t>PR</t>
        </is>
      </c>
      <c r="F2367" s="53" t="inlineStr">
        <is>
          <t>MAYAGUEZ</t>
        </is>
      </c>
      <c r="G2367" s="59" t="n"/>
      <c r="X2367" s="61" t="n"/>
      <c r="Y2367" s="61" t="n"/>
    </row>
    <row r="2368" ht="14.25" customHeight="1" s="86">
      <c r="E2368" s="53" t="inlineStr">
        <is>
          <t>PR</t>
        </is>
      </c>
      <c r="F2368" s="53" t="inlineStr">
        <is>
          <t>MOCA</t>
        </is>
      </c>
      <c r="G2368" s="59" t="n"/>
      <c r="X2368" s="61" t="n"/>
      <c r="Y2368" s="61" t="n"/>
    </row>
    <row r="2369" ht="14.25" customHeight="1" s="86">
      <c r="E2369" s="53" t="inlineStr">
        <is>
          <t>PR</t>
        </is>
      </c>
      <c r="F2369" s="53" t="inlineStr">
        <is>
          <t>MOROVIS</t>
        </is>
      </c>
      <c r="G2369" s="59" t="n"/>
      <c r="X2369" s="61" t="n"/>
      <c r="Y2369" s="61" t="n"/>
    </row>
    <row r="2370" ht="14.25" customHeight="1" s="86">
      <c r="E2370" s="53" t="inlineStr">
        <is>
          <t>PR</t>
        </is>
      </c>
      <c r="F2370" s="53" t="inlineStr">
        <is>
          <t>NAGUABO</t>
        </is>
      </c>
      <c r="G2370" s="59" t="n"/>
      <c r="X2370" s="61" t="n"/>
      <c r="Y2370" s="61" t="n"/>
    </row>
    <row r="2371" ht="14.25" customHeight="1" s="86">
      <c r="E2371" s="53" t="inlineStr">
        <is>
          <t>PR</t>
        </is>
      </c>
      <c r="F2371" s="53" t="inlineStr">
        <is>
          <t>NARANJITO</t>
        </is>
      </c>
      <c r="G2371" s="59" t="n"/>
      <c r="X2371" s="61" t="n"/>
      <c r="Y2371" s="61" t="n"/>
    </row>
    <row r="2372" ht="14.25" customHeight="1" s="86">
      <c r="E2372" s="53" t="inlineStr">
        <is>
          <t>PR</t>
        </is>
      </c>
      <c r="F2372" s="53" t="inlineStr">
        <is>
          <t>OROCOVIS</t>
        </is>
      </c>
      <c r="G2372" s="59" t="n"/>
      <c r="X2372" s="61" t="n"/>
      <c r="Y2372" s="61" t="n"/>
    </row>
    <row r="2373" ht="14.25" customHeight="1" s="86">
      <c r="E2373" s="53" t="inlineStr">
        <is>
          <t>PR</t>
        </is>
      </c>
      <c r="F2373" s="53" t="inlineStr">
        <is>
          <t>PATILLAS</t>
        </is>
      </c>
      <c r="G2373" s="59" t="n"/>
      <c r="X2373" s="61" t="n"/>
      <c r="Y2373" s="61" t="n"/>
    </row>
    <row r="2374" ht="14.25" customHeight="1" s="86">
      <c r="E2374" s="53" t="inlineStr">
        <is>
          <t>PR</t>
        </is>
      </c>
      <c r="F2374" s="53" t="inlineStr">
        <is>
          <t>PENUELAS</t>
        </is>
      </c>
      <c r="G2374" s="59" t="n"/>
      <c r="X2374" s="61" t="n"/>
      <c r="Y2374" s="61" t="n"/>
    </row>
    <row r="2375" ht="14.25" customHeight="1" s="86">
      <c r="E2375" s="53" t="inlineStr">
        <is>
          <t>PR</t>
        </is>
      </c>
      <c r="F2375" s="53" t="inlineStr">
        <is>
          <t>PONCE</t>
        </is>
      </c>
      <c r="G2375" s="59" t="n"/>
      <c r="X2375" s="61" t="n"/>
      <c r="Y2375" s="61" t="n"/>
    </row>
    <row r="2376" ht="14.25" customHeight="1" s="86">
      <c r="E2376" s="53" t="inlineStr">
        <is>
          <t>PR</t>
        </is>
      </c>
      <c r="F2376" s="53" t="inlineStr">
        <is>
          <t>QUEBRADILLAS</t>
        </is>
      </c>
      <c r="G2376" s="59" t="n"/>
      <c r="X2376" s="61" t="n"/>
      <c r="Y2376" s="61" t="n"/>
    </row>
    <row r="2377" ht="14.25" customHeight="1" s="86">
      <c r="E2377" s="53" t="inlineStr">
        <is>
          <t>PR</t>
        </is>
      </c>
      <c r="F2377" s="53" t="inlineStr">
        <is>
          <t>RINCON</t>
        </is>
      </c>
      <c r="G2377" s="59" t="n"/>
      <c r="X2377" s="61" t="n"/>
      <c r="Y2377" s="61" t="n"/>
    </row>
    <row r="2378" ht="14.25" customHeight="1" s="86">
      <c r="E2378" s="53" t="inlineStr">
        <is>
          <t>PR</t>
        </is>
      </c>
      <c r="F2378" s="53" t="inlineStr">
        <is>
          <t>RIO GRANDE</t>
        </is>
      </c>
      <c r="G2378" s="59" t="n"/>
      <c r="X2378" s="61" t="n"/>
      <c r="Y2378" s="61" t="n"/>
    </row>
    <row r="2379" ht="14.25" customHeight="1" s="86">
      <c r="E2379" s="53" t="inlineStr">
        <is>
          <t>PR</t>
        </is>
      </c>
      <c r="F2379" s="53" t="inlineStr">
        <is>
          <t>SABANA GRANDE</t>
        </is>
      </c>
      <c r="G2379" s="59" t="n"/>
      <c r="X2379" s="61" t="n"/>
      <c r="Y2379" s="61" t="n"/>
    </row>
    <row r="2380" ht="14.25" customHeight="1" s="86">
      <c r="E2380" s="53" t="inlineStr">
        <is>
          <t>PR</t>
        </is>
      </c>
      <c r="F2380" s="53" t="inlineStr">
        <is>
          <t>SALINAS</t>
        </is>
      </c>
      <c r="G2380" s="59" t="n"/>
      <c r="X2380" s="61" t="n"/>
      <c r="Y2380" s="61" t="n"/>
    </row>
    <row r="2381" ht="14.25" customHeight="1" s="86">
      <c r="E2381" s="53" t="inlineStr">
        <is>
          <t>PR</t>
        </is>
      </c>
      <c r="F2381" s="53" t="inlineStr">
        <is>
          <t>SAN GERMAN</t>
        </is>
      </c>
      <c r="G2381" s="59" t="n"/>
      <c r="X2381" s="61" t="n"/>
      <c r="Y2381" s="61" t="n"/>
    </row>
    <row r="2382" ht="14.25" customHeight="1" s="86">
      <c r="E2382" s="53" t="inlineStr">
        <is>
          <t>PR</t>
        </is>
      </c>
      <c r="F2382" s="53" t="inlineStr">
        <is>
          <t>SAN JUAN</t>
        </is>
      </c>
      <c r="G2382" s="59" t="n"/>
      <c r="X2382" s="61" t="n"/>
      <c r="Y2382" s="61" t="n"/>
    </row>
    <row r="2383" ht="14.25" customHeight="1" s="86">
      <c r="E2383" s="53" t="inlineStr">
        <is>
          <t>PR</t>
        </is>
      </c>
      <c r="F2383" s="53" t="inlineStr">
        <is>
          <t>SAN LORENZO</t>
        </is>
      </c>
      <c r="G2383" s="59" t="n"/>
      <c r="X2383" s="61" t="n"/>
      <c r="Y2383" s="61" t="n"/>
    </row>
    <row r="2384" ht="14.25" customHeight="1" s="86">
      <c r="E2384" s="53" t="inlineStr">
        <is>
          <t>PR</t>
        </is>
      </c>
      <c r="F2384" s="53" t="inlineStr">
        <is>
          <t>SAN SEBASTIAN</t>
        </is>
      </c>
      <c r="G2384" s="59" t="n"/>
      <c r="X2384" s="61" t="n"/>
      <c r="Y2384" s="61" t="n"/>
    </row>
    <row r="2385" ht="14.25" customHeight="1" s="86">
      <c r="E2385" s="53" t="inlineStr">
        <is>
          <t>PR</t>
        </is>
      </c>
      <c r="F2385" s="53" t="inlineStr">
        <is>
          <t>SANTA ISABEL</t>
        </is>
      </c>
      <c r="G2385" s="59" t="n"/>
      <c r="X2385" s="61" t="n"/>
      <c r="Y2385" s="61" t="n"/>
    </row>
    <row r="2386" ht="14.25" customHeight="1" s="86">
      <c r="E2386" s="53" t="inlineStr">
        <is>
          <t>PR</t>
        </is>
      </c>
      <c r="F2386" s="53" t="inlineStr">
        <is>
          <t>TOA ALTA</t>
        </is>
      </c>
      <c r="G2386" s="59" t="n"/>
      <c r="X2386" s="61" t="n"/>
      <c r="Y2386" s="61" t="n"/>
    </row>
    <row r="2387" ht="14.25" customHeight="1" s="86">
      <c r="E2387" s="53" t="inlineStr">
        <is>
          <t>PR</t>
        </is>
      </c>
      <c r="F2387" s="53" t="inlineStr">
        <is>
          <t>TOA BAJA</t>
        </is>
      </c>
      <c r="G2387" s="59" t="n"/>
      <c r="X2387" s="61" t="n"/>
      <c r="Y2387" s="61" t="n"/>
    </row>
    <row r="2388" ht="14.25" customHeight="1" s="86">
      <c r="E2388" s="53" t="inlineStr">
        <is>
          <t>PR</t>
        </is>
      </c>
      <c r="F2388" s="53" t="inlineStr">
        <is>
          <t>TRUJILLO ALTO</t>
        </is>
      </c>
      <c r="G2388" s="59" t="n"/>
      <c r="X2388" s="61" t="n"/>
      <c r="Y2388" s="61" t="n"/>
    </row>
    <row r="2389" ht="14.25" customHeight="1" s="86">
      <c r="E2389" s="53" t="inlineStr">
        <is>
          <t>PR</t>
        </is>
      </c>
      <c r="F2389" s="53" t="inlineStr">
        <is>
          <t>UTUADO</t>
        </is>
      </c>
      <c r="G2389" s="59" t="n"/>
      <c r="X2389" s="61" t="n"/>
      <c r="Y2389" s="61" t="n"/>
    </row>
    <row r="2390" ht="14.25" customHeight="1" s="86">
      <c r="E2390" s="53" t="inlineStr">
        <is>
          <t>PR</t>
        </is>
      </c>
      <c r="F2390" s="53" t="inlineStr">
        <is>
          <t>VEGA ALTA</t>
        </is>
      </c>
      <c r="G2390" s="59" t="n"/>
      <c r="X2390" s="61" t="n"/>
      <c r="Y2390" s="61" t="n"/>
    </row>
    <row r="2391" ht="14.25" customHeight="1" s="86">
      <c r="E2391" s="53" t="inlineStr">
        <is>
          <t>PR</t>
        </is>
      </c>
      <c r="F2391" s="53" t="inlineStr">
        <is>
          <t>VEGA BAJA</t>
        </is>
      </c>
      <c r="G2391" s="59" t="n"/>
      <c r="X2391" s="61" t="n"/>
      <c r="Y2391" s="61" t="n"/>
    </row>
    <row r="2392" ht="14.25" customHeight="1" s="86">
      <c r="E2392" s="53" t="inlineStr">
        <is>
          <t>PR</t>
        </is>
      </c>
      <c r="F2392" s="53" t="inlineStr">
        <is>
          <t>VIEQUES</t>
        </is>
      </c>
      <c r="G2392" s="59" t="n"/>
      <c r="X2392" s="61" t="n"/>
      <c r="Y2392" s="61" t="n"/>
    </row>
    <row r="2393" ht="14.25" customHeight="1" s="86">
      <c r="E2393" s="53" t="inlineStr">
        <is>
          <t>PR</t>
        </is>
      </c>
      <c r="F2393" s="53" t="inlineStr">
        <is>
          <t>VILLALBA</t>
        </is>
      </c>
      <c r="G2393" s="59" t="n"/>
      <c r="X2393" s="61" t="n"/>
      <c r="Y2393" s="61" t="n"/>
    </row>
    <row r="2394" ht="14.25" customHeight="1" s="86">
      <c r="E2394" s="53" t="inlineStr">
        <is>
          <t>PR</t>
        </is>
      </c>
      <c r="F2394" s="53" t="inlineStr">
        <is>
          <t>YABUCOA</t>
        </is>
      </c>
      <c r="G2394" s="59" t="n"/>
      <c r="X2394" s="61" t="n"/>
      <c r="Y2394" s="61" t="n"/>
    </row>
    <row r="2395" ht="14.25" customHeight="1" s="86">
      <c r="E2395" s="53" t="inlineStr">
        <is>
          <t>PR</t>
        </is>
      </c>
      <c r="F2395" s="53" t="inlineStr">
        <is>
          <t>YAUCO</t>
        </is>
      </c>
      <c r="G2395" s="59" t="n"/>
      <c r="X2395" s="61" t="n"/>
      <c r="Y2395" s="61" t="n"/>
    </row>
    <row r="2396" ht="14.25" customHeight="1" s="86">
      <c r="E2396" s="53" t="inlineStr">
        <is>
          <t>PW</t>
        </is>
      </c>
      <c r="F2396" s="53" t="inlineStr">
        <is>
          <t>PALAU</t>
        </is>
      </c>
      <c r="G2396" s="59" t="n"/>
      <c r="X2396" s="61" t="n"/>
      <c r="Y2396" s="61" t="n"/>
    </row>
    <row r="2397" ht="14.25" customHeight="1" s="86">
      <c r="E2397" s="53" t="inlineStr">
        <is>
          <t>RI</t>
        </is>
      </c>
      <c r="F2397" s="53" t="inlineStr">
        <is>
          <t>BRISTOL</t>
        </is>
      </c>
      <c r="G2397" s="59" t="n"/>
      <c r="X2397" s="61" t="n"/>
      <c r="Y2397" s="61" t="n"/>
    </row>
    <row r="2398" ht="14.25" customHeight="1" s="86">
      <c r="E2398" s="53" t="inlineStr">
        <is>
          <t>RI</t>
        </is>
      </c>
      <c r="F2398" s="53" t="inlineStr">
        <is>
          <t>KENT</t>
        </is>
      </c>
      <c r="G2398" s="59" t="n"/>
      <c r="X2398" s="61" t="n"/>
      <c r="Y2398" s="61" t="n"/>
    </row>
    <row r="2399" ht="14.25" customHeight="1" s="86">
      <c r="E2399" s="53" t="inlineStr">
        <is>
          <t>RI</t>
        </is>
      </c>
      <c r="F2399" s="53" t="inlineStr">
        <is>
          <t>NEWPORT</t>
        </is>
      </c>
      <c r="G2399" s="59" t="n"/>
      <c r="X2399" s="61" t="n"/>
      <c r="Y2399" s="61" t="n"/>
    </row>
    <row r="2400" ht="14.25" customHeight="1" s="86">
      <c r="E2400" s="53" t="inlineStr">
        <is>
          <t>RI</t>
        </is>
      </c>
      <c r="F2400" s="53" t="inlineStr">
        <is>
          <t>PROVIDENCE</t>
        </is>
      </c>
      <c r="G2400" s="59" t="n"/>
      <c r="X2400" s="61" t="n"/>
      <c r="Y2400" s="61" t="n"/>
    </row>
    <row r="2401" ht="14.25" customHeight="1" s="86">
      <c r="E2401" s="53" t="inlineStr">
        <is>
          <t>RI</t>
        </is>
      </c>
      <c r="F2401" s="53" t="inlineStr">
        <is>
          <t>WASHINGTON</t>
        </is>
      </c>
      <c r="G2401" s="59" t="n"/>
      <c r="X2401" s="61" t="n"/>
      <c r="Y2401" s="61" t="n"/>
    </row>
    <row r="2402" ht="14.25" customHeight="1" s="86">
      <c r="E2402" s="53" t="inlineStr">
        <is>
          <t>SC</t>
        </is>
      </c>
      <c r="F2402" s="53" t="inlineStr">
        <is>
          <t>ABBEVILLE</t>
        </is>
      </c>
      <c r="G2402" s="59" t="n"/>
      <c r="X2402" s="61" t="n"/>
      <c r="Y2402" s="61" t="n"/>
    </row>
    <row r="2403" ht="14.25" customHeight="1" s="86">
      <c r="E2403" s="53" t="inlineStr">
        <is>
          <t>SC</t>
        </is>
      </c>
      <c r="F2403" s="53" t="inlineStr">
        <is>
          <t>AIKEN</t>
        </is>
      </c>
      <c r="G2403" s="59" t="n"/>
      <c r="X2403" s="61" t="n"/>
      <c r="Y2403" s="61" t="n"/>
    </row>
    <row r="2404" ht="14.25" customHeight="1" s="86">
      <c r="E2404" s="53" t="inlineStr">
        <is>
          <t>SC</t>
        </is>
      </c>
      <c r="F2404" s="53" t="inlineStr">
        <is>
          <t>ALLENDALE</t>
        </is>
      </c>
      <c r="G2404" s="59" t="n"/>
      <c r="X2404" s="61" t="n"/>
      <c r="Y2404" s="61" t="n"/>
    </row>
    <row r="2405" ht="14.25" customHeight="1" s="86">
      <c r="E2405" s="53" t="inlineStr">
        <is>
          <t>SC</t>
        </is>
      </c>
      <c r="F2405" s="53" t="inlineStr">
        <is>
          <t>ANDERSON</t>
        </is>
      </c>
      <c r="G2405" s="59" t="n"/>
      <c r="X2405" s="61" t="n"/>
      <c r="Y2405" s="61" t="n"/>
    </row>
    <row r="2406" ht="14.25" customHeight="1" s="86">
      <c r="E2406" s="53" t="inlineStr">
        <is>
          <t>SC</t>
        </is>
      </c>
      <c r="F2406" s="53" t="inlineStr">
        <is>
          <t>BAMBERG</t>
        </is>
      </c>
      <c r="G2406" s="59" t="n"/>
      <c r="X2406" s="61" t="n"/>
      <c r="Y2406" s="61" t="n"/>
    </row>
    <row r="2407" ht="14.25" customHeight="1" s="86">
      <c r="E2407" s="53" t="inlineStr">
        <is>
          <t>SC</t>
        </is>
      </c>
      <c r="F2407" s="53" t="inlineStr">
        <is>
          <t>BARNWELL</t>
        </is>
      </c>
      <c r="G2407" s="59" t="n"/>
      <c r="X2407" s="61" t="n"/>
      <c r="Y2407" s="61" t="n"/>
    </row>
    <row r="2408" ht="14.25" customHeight="1" s="86">
      <c r="E2408" s="53" t="inlineStr">
        <is>
          <t>SC</t>
        </is>
      </c>
      <c r="F2408" s="53" t="inlineStr">
        <is>
          <t>BEAUFORT</t>
        </is>
      </c>
      <c r="G2408" s="59" t="n"/>
      <c r="X2408" s="61" t="n"/>
      <c r="Y2408" s="61" t="n"/>
    </row>
    <row r="2409" ht="14.25" customHeight="1" s="86">
      <c r="E2409" s="53" t="inlineStr">
        <is>
          <t>SC</t>
        </is>
      </c>
      <c r="F2409" s="53" t="inlineStr">
        <is>
          <t>BERKELEY</t>
        </is>
      </c>
      <c r="G2409" s="59" t="n"/>
      <c r="X2409" s="61" t="n"/>
      <c r="Y2409" s="61" t="n"/>
    </row>
    <row r="2410" ht="14.25" customHeight="1" s="86">
      <c r="E2410" s="53" t="inlineStr">
        <is>
          <t>SC</t>
        </is>
      </c>
      <c r="F2410" s="53" t="inlineStr">
        <is>
          <t>CALHOUN</t>
        </is>
      </c>
      <c r="G2410" s="59" t="n"/>
      <c r="X2410" s="61" t="n"/>
      <c r="Y2410" s="61" t="n"/>
    </row>
    <row r="2411" ht="14.25" customHeight="1" s="86">
      <c r="E2411" s="53" t="inlineStr">
        <is>
          <t>SC</t>
        </is>
      </c>
      <c r="F2411" s="53" t="inlineStr">
        <is>
          <t>CHARLESTON</t>
        </is>
      </c>
      <c r="G2411" s="59" t="n"/>
      <c r="X2411" s="61" t="n"/>
      <c r="Y2411" s="61" t="n"/>
    </row>
    <row r="2412" ht="14.25" customHeight="1" s="86">
      <c r="E2412" s="53" t="inlineStr">
        <is>
          <t>SC</t>
        </is>
      </c>
      <c r="F2412" s="53" t="inlineStr">
        <is>
          <t>CHEROKEE</t>
        </is>
      </c>
      <c r="G2412" s="59" t="n"/>
      <c r="X2412" s="61" t="n"/>
      <c r="Y2412" s="61" t="n"/>
    </row>
    <row r="2413" ht="14.25" customHeight="1" s="86">
      <c r="E2413" s="53" t="inlineStr">
        <is>
          <t>SC</t>
        </is>
      </c>
      <c r="F2413" s="53" t="inlineStr">
        <is>
          <t>CHESTER</t>
        </is>
      </c>
      <c r="G2413" s="59" t="n"/>
      <c r="X2413" s="61" t="n"/>
      <c r="Y2413" s="61" t="n"/>
    </row>
    <row r="2414" ht="14.25" customHeight="1" s="86">
      <c r="E2414" s="53" t="inlineStr">
        <is>
          <t>SC</t>
        </is>
      </c>
      <c r="F2414" s="53" t="inlineStr">
        <is>
          <t>CHESTERFIELD</t>
        </is>
      </c>
      <c r="G2414" s="59" t="n"/>
      <c r="X2414" s="61" t="n"/>
      <c r="Y2414" s="61" t="n"/>
    </row>
    <row r="2415" ht="14.25" customHeight="1" s="86">
      <c r="E2415" s="53" t="inlineStr">
        <is>
          <t>SC</t>
        </is>
      </c>
      <c r="F2415" s="53" t="inlineStr">
        <is>
          <t>CLARENDON</t>
        </is>
      </c>
      <c r="G2415" s="59" t="n"/>
      <c r="X2415" s="61" t="n"/>
      <c r="Y2415" s="61" t="n"/>
    </row>
    <row r="2416" ht="14.25" customHeight="1" s="86">
      <c r="E2416" s="53" t="inlineStr">
        <is>
          <t>SC</t>
        </is>
      </c>
      <c r="F2416" s="53" t="inlineStr">
        <is>
          <t>COLLETON</t>
        </is>
      </c>
      <c r="G2416" s="59" t="n"/>
      <c r="X2416" s="61" t="n"/>
      <c r="Y2416" s="61" t="n"/>
    </row>
    <row r="2417" ht="14.25" customHeight="1" s="86">
      <c r="E2417" s="53" t="inlineStr">
        <is>
          <t>SC</t>
        </is>
      </c>
      <c r="F2417" s="53" t="inlineStr">
        <is>
          <t>DARLINGTON</t>
        </is>
      </c>
      <c r="G2417" s="59" t="n"/>
      <c r="X2417" s="61" t="n"/>
      <c r="Y2417" s="61" t="n"/>
    </row>
    <row r="2418" ht="14.25" customHeight="1" s="86">
      <c r="E2418" s="53" t="inlineStr">
        <is>
          <t>SC</t>
        </is>
      </c>
      <c r="F2418" s="53" t="inlineStr">
        <is>
          <t>DILLON</t>
        </is>
      </c>
      <c r="G2418" s="59" t="n"/>
      <c r="X2418" s="61" t="n"/>
      <c r="Y2418" s="61" t="n"/>
    </row>
    <row r="2419" ht="14.25" customHeight="1" s="86">
      <c r="E2419" s="53" t="inlineStr">
        <is>
          <t>SC</t>
        </is>
      </c>
      <c r="F2419" s="53" t="inlineStr">
        <is>
          <t>DORCHESTER</t>
        </is>
      </c>
      <c r="G2419" s="59" t="n"/>
      <c r="X2419" s="61" t="n"/>
      <c r="Y2419" s="61" t="n"/>
    </row>
    <row r="2420" ht="14.25" customHeight="1" s="86">
      <c r="E2420" s="53" t="inlineStr">
        <is>
          <t>SC</t>
        </is>
      </c>
      <c r="F2420" s="53" t="inlineStr">
        <is>
          <t>EDGEFIELD</t>
        </is>
      </c>
      <c r="G2420" s="59" t="n"/>
      <c r="X2420" s="61" t="n"/>
      <c r="Y2420" s="61" t="n"/>
    </row>
    <row r="2421" ht="14.25" customHeight="1" s="86">
      <c r="E2421" s="53" t="inlineStr">
        <is>
          <t>SC</t>
        </is>
      </c>
      <c r="F2421" s="53" t="inlineStr">
        <is>
          <t>FAIRFIELD</t>
        </is>
      </c>
      <c r="G2421" s="59" t="n"/>
      <c r="X2421" s="61" t="n"/>
      <c r="Y2421" s="61" t="n"/>
    </row>
    <row r="2422" ht="14.25" customHeight="1" s="86">
      <c r="E2422" s="53" t="inlineStr">
        <is>
          <t>SC</t>
        </is>
      </c>
      <c r="F2422" s="53" t="inlineStr">
        <is>
          <t>FLORENCE</t>
        </is>
      </c>
      <c r="G2422" s="59" t="n"/>
      <c r="X2422" s="61" t="n"/>
      <c r="Y2422" s="61" t="n"/>
    </row>
    <row r="2423" ht="14.25" customHeight="1" s="86">
      <c r="E2423" s="53" t="inlineStr">
        <is>
          <t>SC</t>
        </is>
      </c>
      <c r="F2423" s="53" t="inlineStr">
        <is>
          <t>GEORGETOWN</t>
        </is>
      </c>
      <c r="G2423" s="59" t="n"/>
      <c r="X2423" s="61" t="n"/>
      <c r="Y2423" s="61" t="n"/>
    </row>
    <row r="2424" ht="14.25" customHeight="1" s="86">
      <c r="E2424" s="53" t="inlineStr">
        <is>
          <t>SC</t>
        </is>
      </c>
      <c r="F2424" s="53" t="inlineStr">
        <is>
          <t>GREENVILLE</t>
        </is>
      </c>
      <c r="G2424" s="59" t="n"/>
      <c r="X2424" s="61" t="n"/>
      <c r="Y2424" s="61" t="n"/>
    </row>
    <row r="2425" ht="14.25" customHeight="1" s="86">
      <c r="E2425" s="53" t="inlineStr">
        <is>
          <t>SC</t>
        </is>
      </c>
      <c r="F2425" s="53" t="inlineStr">
        <is>
          <t>GREENWOOD</t>
        </is>
      </c>
      <c r="G2425" s="59" t="n"/>
      <c r="X2425" s="61" t="n"/>
      <c r="Y2425" s="61" t="n"/>
    </row>
    <row r="2426" ht="14.25" customHeight="1" s="86">
      <c r="E2426" s="53" t="inlineStr">
        <is>
          <t>SC</t>
        </is>
      </c>
      <c r="F2426" s="53" t="inlineStr">
        <is>
          <t>HAMPTON</t>
        </is>
      </c>
      <c r="G2426" s="59" t="n"/>
      <c r="X2426" s="61" t="n"/>
      <c r="Y2426" s="61" t="n"/>
    </row>
    <row r="2427" ht="14.25" customHeight="1" s="86">
      <c r="E2427" s="53" t="inlineStr">
        <is>
          <t>SC</t>
        </is>
      </c>
      <c r="F2427" s="53" t="inlineStr">
        <is>
          <t>HORRY</t>
        </is>
      </c>
      <c r="G2427" s="59" t="n"/>
      <c r="X2427" s="61" t="n"/>
      <c r="Y2427" s="61" t="n"/>
    </row>
    <row r="2428" ht="14.25" customHeight="1" s="86">
      <c r="E2428" s="53" t="inlineStr">
        <is>
          <t>SC</t>
        </is>
      </c>
      <c r="F2428" s="53" t="inlineStr">
        <is>
          <t>JASPER</t>
        </is>
      </c>
      <c r="G2428" s="59" t="n"/>
      <c r="X2428" s="61" t="n"/>
      <c r="Y2428" s="61" t="n"/>
    </row>
    <row r="2429" ht="14.25" customHeight="1" s="86">
      <c r="E2429" s="53" t="inlineStr">
        <is>
          <t>SC</t>
        </is>
      </c>
      <c r="F2429" s="53" t="inlineStr">
        <is>
          <t>KERSHAW</t>
        </is>
      </c>
      <c r="G2429" s="59" t="n"/>
      <c r="X2429" s="61" t="n"/>
      <c r="Y2429" s="61" t="n"/>
    </row>
    <row r="2430" ht="14.25" customHeight="1" s="86">
      <c r="E2430" s="53" t="inlineStr">
        <is>
          <t>SC</t>
        </is>
      </c>
      <c r="F2430" s="53" t="inlineStr">
        <is>
          <t>LANCASTER</t>
        </is>
      </c>
      <c r="G2430" s="59" t="n"/>
      <c r="X2430" s="61" t="n"/>
      <c r="Y2430" s="61" t="n"/>
    </row>
    <row r="2431" ht="14.25" customHeight="1" s="86">
      <c r="E2431" s="53" t="inlineStr">
        <is>
          <t>SC</t>
        </is>
      </c>
      <c r="F2431" s="53" t="inlineStr">
        <is>
          <t>LAURENS</t>
        </is>
      </c>
      <c r="G2431" s="59" t="n"/>
      <c r="X2431" s="61" t="n"/>
      <c r="Y2431" s="61" t="n"/>
    </row>
    <row r="2432" ht="14.25" customHeight="1" s="86">
      <c r="E2432" s="53" t="inlineStr">
        <is>
          <t>SC</t>
        </is>
      </c>
      <c r="F2432" s="53" t="inlineStr">
        <is>
          <t>LEE</t>
        </is>
      </c>
      <c r="G2432" s="59" t="n"/>
      <c r="X2432" s="61" t="n"/>
      <c r="Y2432" s="61" t="n"/>
    </row>
    <row r="2433" ht="14.25" customHeight="1" s="86">
      <c r="E2433" s="53" t="inlineStr">
        <is>
          <t>SC</t>
        </is>
      </c>
      <c r="F2433" s="53" t="inlineStr">
        <is>
          <t>LEXINGTON</t>
        </is>
      </c>
      <c r="G2433" s="59" t="n"/>
      <c r="X2433" s="61" t="n"/>
      <c r="Y2433" s="61" t="n"/>
    </row>
    <row r="2434" ht="14.25" customHeight="1" s="86">
      <c r="E2434" s="53" t="inlineStr">
        <is>
          <t>SC</t>
        </is>
      </c>
      <c r="F2434" s="53" t="inlineStr">
        <is>
          <t>MARION</t>
        </is>
      </c>
      <c r="G2434" s="59" t="n"/>
      <c r="X2434" s="61" t="n"/>
      <c r="Y2434" s="61" t="n"/>
    </row>
    <row r="2435" ht="14.25" customHeight="1" s="86">
      <c r="E2435" s="53" t="inlineStr">
        <is>
          <t>SC</t>
        </is>
      </c>
      <c r="F2435" s="53" t="inlineStr">
        <is>
          <t>MARLBORO</t>
        </is>
      </c>
      <c r="G2435" s="59" t="n"/>
      <c r="X2435" s="61" t="n"/>
      <c r="Y2435" s="61" t="n"/>
    </row>
    <row r="2436" ht="14.25" customHeight="1" s="86">
      <c r="E2436" s="53" t="inlineStr">
        <is>
          <t>SC</t>
        </is>
      </c>
      <c r="F2436" s="53" t="inlineStr">
        <is>
          <t>MCCORMICK</t>
        </is>
      </c>
      <c r="G2436" s="59" t="n"/>
      <c r="X2436" s="61" t="n"/>
      <c r="Y2436" s="61" t="n"/>
    </row>
    <row r="2437" ht="14.25" customHeight="1" s="86">
      <c r="E2437" s="53" t="inlineStr">
        <is>
          <t>SC</t>
        </is>
      </c>
      <c r="F2437" s="53" t="inlineStr">
        <is>
          <t>NEWBERRY</t>
        </is>
      </c>
      <c r="G2437" s="59" t="n"/>
      <c r="X2437" s="61" t="n"/>
      <c r="Y2437" s="61" t="n"/>
    </row>
    <row r="2438" ht="14.25" customHeight="1" s="86">
      <c r="E2438" s="53" t="inlineStr">
        <is>
          <t>SC</t>
        </is>
      </c>
      <c r="F2438" s="53" t="inlineStr">
        <is>
          <t>OCONEE</t>
        </is>
      </c>
      <c r="G2438" s="59" t="n"/>
      <c r="X2438" s="61" t="n"/>
      <c r="Y2438" s="61" t="n"/>
    </row>
    <row r="2439" ht="14.25" customHeight="1" s="86">
      <c r="E2439" s="53" t="inlineStr">
        <is>
          <t>SC</t>
        </is>
      </c>
      <c r="F2439" s="53" t="inlineStr">
        <is>
          <t>ORANGEBURG</t>
        </is>
      </c>
      <c r="G2439" s="59" t="n"/>
      <c r="X2439" s="61" t="n"/>
      <c r="Y2439" s="61" t="n"/>
    </row>
    <row r="2440" ht="14.25" customHeight="1" s="86">
      <c r="E2440" s="53" t="inlineStr">
        <is>
          <t>SC</t>
        </is>
      </c>
      <c r="F2440" s="53" t="inlineStr">
        <is>
          <t>PICKENS</t>
        </is>
      </c>
      <c r="G2440" s="59" t="n"/>
      <c r="X2440" s="61" t="n"/>
      <c r="Y2440" s="61" t="n"/>
    </row>
    <row r="2441" ht="14.25" customHeight="1" s="86">
      <c r="E2441" s="53" t="inlineStr">
        <is>
          <t>SC</t>
        </is>
      </c>
      <c r="F2441" s="53" t="inlineStr">
        <is>
          <t>RICHLAND</t>
        </is>
      </c>
      <c r="G2441" s="59" t="n"/>
      <c r="X2441" s="61" t="n"/>
      <c r="Y2441" s="61" t="n"/>
    </row>
    <row r="2442" ht="14.25" customHeight="1" s="86">
      <c r="E2442" s="53" t="inlineStr">
        <is>
          <t>SC</t>
        </is>
      </c>
      <c r="F2442" s="53" t="inlineStr">
        <is>
          <t>SALUDA</t>
        </is>
      </c>
      <c r="G2442" s="59" t="n"/>
      <c r="X2442" s="61" t="n"/>
      <c r="Y2442" s="61" t="n"/>
    </row>
    <row r="2443" ht="14.25" customHeight="1" s="86">
      <c r="E2443" s="53" t="inlineStr">
        <is>
          <t>SC</t>
        </is>
      </c>
      <c r="F2443" s="53" t="inlineStr">
        <is>
          <t>SPARTANBURG</t>
        </is>
      </c>
      <c r="G2443" s="59" t="n"/>
      <c r="X2443" s="61" t="n"/>
      <c r="Y2443" s="61" t="n"/>
    </row>
    <row r="2444" ht="14.25" customHeight="1" s="86">
      <c r="E2444" s="53" t="inlineStr">
        <is>
          <t>SC</t>
        </is>
      </c>
      <c r="F2444" s="53" t="inlineStr">
        <is>
          <t>SUMTER</t>
        </is>
      </c>
      <c r="G2444" s="59" t="n"/>
      <c r="X2444" s="61" t="n"/>
      <c r="Y2444" s="61" t="n"/>
    </row>
    <row r="2445" ht="14.25" customHeight="1" s="86">
      <c r="E2445" s="53" t="inlineStr">
        <is>
          <t>SC</t>
        </is>
      </c>
      <c r="F2445" s="53" t="inlineStr">
        <is>
          <t>UNION</t>
        </is>
      </c>
      <c r="G2445" s="59" t="n"/>
      <c r="X2445" s="61" t="n"/>
      <c r="Y2445" s="61" t="n"/>
    </row>
    <row r="2446" ht="14.25" customHeight="1" s="86">
      <c r="E2446" s="53" t="inlineStr">
        <is>
          <t>SC</t>
        </is>
      </c>
      <c r="F2446" s="53" t="inlineStr">
        <is>
          <t>WILLIAMSBURG</t>
        </is>
      </c>
      <c r="G2446" s="59" t="n"/>
      <c r="X2446" s="61" t="n"/>
      <c r="Y2446" s="61" t="n"/>
    </row>
    <row r="2447" ht="14.25" customHeight="1" s="86">
      <c r="E2447" s="53" t="inlineStr">
        <is>
          <t>SC</t>
        </is>
      </c>
      <c r="F2447" s="53" t="inlineStr">
        <is>
          <t>YORK</t>
        </is>
      </c>
      <c r="G2447" s="59" t="n"/>
      <c r="X2447" s="61" t="n"/>
      <c r="Y2447" s="61" t="n"/>
    </row>
    <row r="2448" ht="14.25" customHeight="1" s="86">
      <c r="E2448" s="53" t="inlineStr">
        <is>
          <t>SD</t>
        </is>
      </c>
      <c r="F2448" s="53" t="inlineStr">
        <is>
          <t>AURORA</t>
        </is>
      </c>
      <c r="G2448" s="59" t="n"/>
      <c r="X2448" s="61" t="n"/>
      <c r="Y2448" s="61" t="n"/>
    </row>
    <row r="2449" ht="14.25" customHeight="1" s="86">
      <c r="E2449" s="53" t="inlineStr">
        <is>
          <t>SD</t>
        </is>
      </c>
      <c r="F2449" s="53" t="inlineStr">
        <is>
          <t>BEADLE</t>
        </is>
      </c>
      <c r="G2449" s="59" t="n"/>
      <c r="X2449" s="61" t="n"/>
      <c r="Y2449" s="61" t="n"/>
    </row>
    <row r="2450" ht="14.25" customHeight="1" s="86">
      <c r="E2450" s="53" t="inlineStr">
        <is>
          <t>SD</t>
        </is>
      </c>
      <c r="F2450" s="53" t="inlineStr">
        <is>
          <t>BENNETT</t>
        </is>
      </c>
      <c r="G2450" s="59" t="n"/>
      <c r="X2450" s="61" t="n"/>
      <c r="Y2450" s="61" t="n"/>
    </row>
    <row r="2451" ht="14.25" customHeight="1" s="86">
      <c r="E2451" s="53" t="inlineStr">
        <is>
          <t>SD</t>
        </is>
      </c>
      <c r="F2451" s="53" t="inlineStr">
        <is>
          <t>BON HOMME</t>
        </is>
      </c>
      <c r="G2451" s="59" t="n"/>
      <c r="X2451" s="61" t="n"/>
      <c r="Y2451" s="61" t="n"/>
    </row>
    <row r="2452" ht="14.25" customHeight="1" s="86">
      <c r="E2452" s="53" t="inlineStr">
        <is>
          <t>SD</t>
        </is>
      </c>
      <c r="F2452" s="53" t="inlineStr">
        <is>
          <t>BROOKINGS</t>
        </is>
      </c>
      <c r="G2452" s="59" t="n"/>
      <c r="X2452" s="61" t="n"/>
      <c r="Y2452" s="61" t="n"/>
    </row>
    <row r="2453" ht="14.25" customHeight="1" s="86">
      <c r="E2453" s="53" t="inlineStr">
        <is>
          <t>SD</t>
        </is>
      </c>
      <c r="F2453" s="53" t="inlineStr">
        <is>
          <t>BROWN</t>
        </is>
      </c>
      <c r="G2453" s="59" t="n"/>
      <c r="X2453" s="61" t="n"/>
      <c r="Y2453" s="61" t="n"/>
    </row>
    <row r="2454" ht="14.25" customHeight="1" s="86">
      <c r="E2454" s="53" t="inlineStr">
        <is>
          <t>SD</t>
        </is>
      </c>
      <c r="F2454" s="53" t="inlineStr">
        <is>
          <t>BRULE</t>
        </is>
      </c>
      <c r="G2454" s="59" t="n"/>
      <c r="X2454" s="61" t="n"/>
      <c r="Y2454" s="61" t="n"/>
    </row>
    <row r="2455" ht="14.25" customHeight="1" s="86">
      <c r="E2455" s="53" t="inlineStr">
        <is>
          <t>SD</t>
        </is>
      </c>
      <c r="F2455" s="53" t="inlineStr">
        <is>
          <t>BUFFALO</t>
        </is>
      </c>
      <c r="G2455" s="59" t="n"/>
      <c r="X2455" s="61" t="n"/>
      <c r="Y2455" s="61" t="n"/>
    </row>
    <row r="2456" ht="14.25" customHeight="1" s="86">
      <c r="E2456" s="53" t="inlineStr">
        <is>
          <t>SD</t>
        </is>
      </c>
      <c r="F2456" s="53" t="inlineStr">
        <is>
          <t>BUTTE</t>
        </is>
      </c>
      <c r="G2456" s="59" t="n"/>
      <c r="X2456" s="61" t="n"/>
      <c r="Y2456" s="61" t="n"/>
    </row>
    <row r="2457" ht="14.25" customHeight="1" s="86">
      <c r="E2457" s="53" t="inlineStr">
        <is>
          <t>SD</t>
        </is>
      </c>
      <c r="F2457" s="53" t="inlineStr">
        <is>
          <t>CAMPBELL</t>
        </is>
      </c>
      <c r="G2457" s="59" t="n"/>
      <c r="X2457" s="61" t="n"/>
      <c r="Y2457" s="61" t="n"/>
    </row>
    <row r="2458" ht="14.25" customHeight="1" s="86">
      <c r="E2458" s="53" t="inlineStr">
        <is>
          <t>SD</t>
        </is>
      </c>
      <c r="F2458" s="53" t="inlineStr">
        <is>
          <t>CHARLES MIX</t>
        </is>
      </c>
      <c r="G2458" s="59" t="n"/>
      <c r="X2458" s="61" t="n"/>
      <c r="Y2458" s="61" t="n"/>
    </row>
    <row r="2459" ht="14.25" customHeight="1" s="86">
      <c r="E2459" s="53" t="inlineStr">
        <is>
          <t>SD</t>
        </is>
      </c>
      <c r="F2459" s="53" t="inlineStr">
        <is>
          <t>CLARK</t>
        </is>
      </c>
      <c r="G2459" s="59" t="n"/>
      <c r="X2459" s="61" t="n"/>
      <c r="Y2459" s="61" t="n"/>
    </row>
    <row r="2460" ht="14.25" customHeight="1" s="86">
      <c r="E2460" s="53" t="inlineStr">
        <is>
          <t>SD</t>
        </is>
      </c>
      <c r="F2460" s="53" t="inlineStr">
        <is>
          <t>CLAY</t>
        </is>
      </c>
      <c r="G2460" s="59" t="n"/>
      <c r="X2460" s="61" t="n"/>
      <c r="Y2460" s="61" t="n"/>
    </row>
    <row r="2461" ht="14.25" customHeight="1" s="86">
      <c r="E2461" s="53" t="inlineStr">
        <is>
          <t>SD</t>
        </is>
      </c>
      <c r="F2461" s="53" t="inlineStr">
        <is>
          <t>CODINGTON</t>
        </is>
      </c>
      <c r="G2461" s="59" t="n"/>
      <c r="X2461" s="61" t="n"/>
      <c r="Y2461" s="61" t="n"/>
    </row>
    <row r="2462" ht="14.25" customHeight="1" s="86">
      <c r="E2462" s="53" t="inlineStr">
        <is>
          <t>SD</t>
        </is>
      </c>
      <c r="F2462" s="53" t="inlineStr">
        <is>
          <t>CORSON</t>
        </is>
      </c>
      <c r="G2462" s="59" t="n"/>
      <c r="X2462" s="61" t="n"/>
      <c r="Y2462" s="61" t="n"/>
    </row>
    <row r="2463" ht="14.25" customHeight="1" s="86">
      <c r="E2463" s="53" t="inlineStr">
        <is>
          <t>SD</t>
        </is>
      </c>
      <c r="F2463" s="53" t="inlineStr">
        <is>
          <t>CUSTER</t>
        </is>
      </c>
      <c r="G2463" s="59" t="n"/>
      <c r="X2463" s="61" t="n"/>
      <c r="Y2463" s="61" t="n"/>
    </row>
    <row r="2464" ht="14.25" customHeight="1" s="86">
      <c r="E2464" s="53" t="inlineStr">
        <is>
          <t>SD</t>
        </is>
      </c>
      <c r="F2464" s="53" t="inlineStr">
        <is>
          <t>DAVISON</t>
        </is>
      </c>
      <c r="G2464" s="59" t="n"/>
      <c r="X2464" s="61" t="n"/>
      <c r="Y2464" s="61" t="n"/>
    </row>
    <row r="2465" ht="14.25" customHeight="1" s="86">
      <c r="E2465" s="53" t="inlineStr">
        <is>
          <t>SD</t>
        </is>
      </c>
      <c r="F2465" s="53" t="inlineStr">
        <is>
          <t>DAY</t>
        </is>
      </c>
      <c r="G2465" s="59" t="n"/>
      <c r="X2465" s="61" t="n"/>
      <c r="Y2465" s="61" t="n"/>
    </row>
    <row r="2466" ht="14.25" customHeight="1" s="86">
      <c r="E2466" s="53" t="inlineStr">
        <is>
          <t>SD</t>
        </is>
      </c>
      <c r="F2466" s="53" t="inlineStr">
        <is>
          <t>DEUEL</t>
        </is>
      </c>
      <c r="G2466" s="59" t="n"/>
      <c r="X2466" s="61" t="n"/>
      <c r="Y2466" s="61" t="n"/>
    </row>
    <row r="2467" ht="14.25" customHeight="1" s="86">
      <c r="E2467" s="53" t="inlineStr">
        <is>
          <t>SD</t>
        </is>
      </c>
      <c r="F2467" s="53" t="inlineStr">
        <is>
          <t>DEWEY</t>
        </is>
      </c>
      <c r="G2467" s="59" t="n"/>
      <c r="X2467" s="61" t="n"/>
      <c r="Y2467" s="61" t="n"/>
    </row>
    <row r="2468" ht="14.25" customHeight="1" s="86">
      <c r="E2468" s="53" t="inlineStr">
        <is>
          <t>SD</t>
        </is>
      </c>
      <c r="F2468" s="53" t="inlineStr">
        <is>
          <t>DOUGLAS</t>
        </is>
      </c>
      <c r="G2468" s="59" t="n"/>
      <c r="X2468" s="61" t="n"/>
      <c r="Y2468" s="61" t="n"/>
    </row>
    <row r="2469" ht="14.25" customHeight="1" s="86">
      <c r="E2469" s="53" t="inlineStr">
        <is>
          <t>SD</t>
        </is>
      </c>
      <c r="F2469" s="53" t="inlineStr">
        <is>
          <t>EDMUNDS</t>
        </is>
      </c>
      <c r="G2469" s="59" t="n"/>
      <c r="X2469" s="61" t="n"/>
      <c r="Y2469" s="61" t="n"/>
    </row>
    <row r="2470" ht="14.25" customHeight="1" s="86">
      <c r="E2470" s="53" t="inlineStr">
        <is>
          <t>SD</t>
        </is>
      </c>
      <c r="F2470" s="53" t="inlineStr">
        <is>
          <t>FALL RIVER</t>
        </is>
      </c>
      <c r="G2470" s="59" t="n"/>
      <c r="X2470" s="61" t="n"/>
      <c r="Y2470" s="61" t="n"/>
    </row>
    <row r="2471" ht="14.25" customHeight="1" s="86">
      <c r="E2471" s="53" t="inlineStr">
        <is>
          <t>SD</t>
        </is>
      </c>
      <c r="F2471" s="53" t="inlineStr">
        <is>
          <t>FAULK</t>
        </is>
      </c>
      <c r="G2471" s="59" t="n"/>
      <c r="X2471" s="61" t="n"/>
      <c r="Y2471" s="61" t="n"/>
    </row>
    <row r="2472" ht="14.25" customHeight="1" s="86">
      <c r="E2472" s="53" t="inlineStr">
        <is>
          <t>SD</t>
        </is>
      </c>
      <c r="F2472" s="53" t="inlineStr">
        <is>
          <t>GRANT</t>
        </is>
      </c>
      <c r="G2472" s="59" t="n"/>
      <c r="X2472" s="61" t="n"/>
      <c r="Y2472" s="61" t="n"/>
    </row>
    <row r="2473" ht="14.25" customHeight="1" s="86">
      <c r="E2473" s="53" t="inlineStr">
        <is>
          <t>SD</t>
        </is>
      </c>
      <c r="F2473" s="53" t="inlineStr">
        <is>
          <t>GREGORY</t>
        </is>
      </c>
      <c r="G2473" s="59" t="n"/>
      <c r="X2473" s="61" t="n"/>
      <c r="Y2473" s="61" t="n"/>
    </row>
    <row r="2474" ht="14.25" customHeight="1" s="86">
      <c r="E2474" s="53" t="inlineStr">
        <is>
          <t>SD</t>
        </is>
      </c>
      <c r="F2474" s="53" t="inlineStr">
        <is>
          <t>HAAKON</t>
        </is>
      </c>
      <c r="G2474" s="59" t="n"/>
      <c r="X2474" s="61" t="n"/>
      <c r="Y2474" s="61" t="n"/>
    </row>
    <row r="2475" ht="14.25" customHeight="1" s="86">
      <c r="E2475" s="53" t="inlineStr">
        <is>
          <t>SD</t>
        </is>
      </c>
      <c r="F2475" s="53" t="inlineStr">
        <is>
          <t>HAMLIN</t>
        </is>
      </c>
      <c r="G2475" s="59" t="n"/>
      <c r="X2475" s="61" t="n"/>
      <c r="Y2475" s="61" t="n"/>
    </row>
    <row r="2476" ht="14.25" customHeight="1" s="86">
      <c r="E2476" s="53" t="inlineStr">
        <is>
          <t>SD</t>
        </is>
      </c>
      <c r="F2476" s="53" t="inlineStr">
        <is>
          <t>HAND</t>
        </is>
      </c>
      <c r="G2476" s="59" t="n"/>
      <c r="X2476" s="61" t="n"/>
      <c r="Y2476" s="61" t="n"/>
    </row>
    <row r="2477" ht="14.25" customHeight="1" s="86">
      <c r="E2477" s="53" t="inlineStr">
        <is>
          <t>SD</t>
        </is>
      </c>
      <c r="F2477" s="53" t="inlineStr">
        <is>
          <t>HANSON</t>
        </is>
      </c>
      <c r="G2477" s="59" t="n"/>
      <c r="X2477" s="61" t="n"/>
      <c r="Y2477" s="61" t="n"/>
    </row>
    <row r="2478" ht="14.25" customHeight="1" s="86">
      <c r="E2478" s="53" t="inlineStr">
        <is>
          <t>SD</t>
        </is>
      </c>
      <c r="F2478" s="53" t="inlineStr">
        <is>
          <t>HARDING</t>
        </is>
      </c>
      <c r="G2478" s="59" t="n"/>
      <c r="X2478" s="61" t="n"/>
      <c r="Y2478" s="61" t="n"/>
    </row>
    <row r="2479" ht="14.25" customHeight="1" s="86">
      <c r="E2479" s="53" t="inlineStr">
        <is>
          <t>SD</t>
        </is>
      </c>
      <c r="F2479" s="53" t="inlineStr">
        <is>
          <t>HUGHES</t>
        </is>
      </c>
      <c r="G2479" s="59" t="n"/>
      <c r="X2479" s="61" t="n"/>
      <c r="Y2479" s="61" t="n"/>
    </row>
    <row r="2480" ht="14.25" customHeight="1" s="86">
      <c r="E2480" s="53" t="inlineStr">
        <is>
          <t>SD</t>
        </is>
      </c>
      <c r="F2480" s="53" t="inlineStr">
        <is>
          <t>HUTCHINSON</t>
        </is>
      </c>
      <c r="G2480" s="59" t="n"/>
      <c r="X2480" s="61" t="n"/>
      <c r="Y2480" s="61" t="n"/>
    </row>
    <row r="2481" ht="14.25" customHeight="1" s="86">
      <c r="E2481" s="53" t="inlineStr">
        <is>
          <t>SD</t>
        </is>
      </c>
      <c r="F2481" s="53" t="inlineStr">
        <is>
          <t>HYDE</t>
        </is>
      </c>
      <c r="G2481" s="59" t="n"/>
      <c r="X2481" s="61" t="n"/>
      <c r="Y2481" s="61" t="n"/>
    </row>
    <row r="2482" ht="14.25" customHeight="1" s="86">
      <c r="E2482" s="53" t="inlineStr">
        <is>
          <t>SD</t>
        </is>
      </c>
      <c r="F2482" s="53" t="inlineStr">
        <is>
          <t>JACKSON</t>
        </is>
      </c>
      <c r="G2482" s="59" t="n"/>
      <c r="X2482" s="61" t="n"/>
      <c r="Y2482" s="61" t="n"/>
    </row>
    <row r="2483" ht="14.25" customHeight="1" s="86">
      <c r="E2483" s="53" t="inlineStr">
        <is>
          <t>SD</t>
        </is>
      </c>
      <c r="F2483" s="53" t="inlineStr">
        <is>
          <t>JERAULD</t>
        </is>
      </c>
      <c r="G2483" s="59" t="n"/>
      <c r="X2483" s="61" t="n"/>
      <c r="Y2483" s="61" t="n"/>
    </row>
    <row r="2484" ht="14.25" customHeight="1" s="86">
      <c r="E2484" s="53" t="inlineStr">
        <is>
          <t>SD</t>
        </is>
      </c>
      <c r="F2484" s="53" t="inlineStr">
        <is>
          <t>JONES</t>
        </is>
      </c>
      <c r="G2484" s="59" t="n"/>
      <c r="X2484" s="61" t="n"/>
      <c r="Y2484" s="61" t="n"/>
    </row>
    <row r="2485" ht="14.25" customHeight="1" s="86">
      <c r="E2485" s="53" t="inlineStr">
        <is>
          <t>SD</t>
        </is>
      </c>
      <c r="F2485" s="53" t="inlineStr">
        <is>
          <t>KINGSBURY</t>
        </is>
      </c>
      <c r="G2485" s="59" t="n"/>
      <c r="X2485" s="61" t="n"/>
      <c r="Y2485" s="61" t="n"/>
    </row>
    <row r="2486" ht="14.25" customHeight="1" s="86">
      <c r="E2486" s="53" t="inlineStr">
        <is>
          <t>SD</t>
        </is>
      </c>
      <c r="F2486" s="53" t="inlineStr">
        <is>
          <t>LAKE</t>
        </is>
      </c>
      <c r="G2486" s="59" t="n"/>
      <c r="X2486" s="61" t="n"/>
      <c r="Y2486" s="61" t="n"/>
    </row>
    <row r="2487" ht="14.25" customHeight="1" s="86">
      <c r="E2487" s="53" t="inlineStr">
        <is>
          <t>SD</t>
        </is>
      </c>
      <c r="F2487" s="53" t="inlineStr">
        <is>
          <t>LAWRENCE</t>
        </is>
      </c>
      <c r="G2487" s="59" t="n"/>
      <c r="X2487" s="61" t="n"/>
      <c r="Y2487" s="61" t="n"/>
    </row>
    <row r="2488" ht="14.25" customHeight="1" s="86">
      <c r="E2488" s="53" t="inlineStr">
        <is>
          <t>SD</t>
        </is>
      </c>
      <c r="F2488" s="53" t="inlineStr">
        <is>
          <t>LINCOLN</t>
        </is>
      </c>
      <c r="G2488" s="59" t="n"/>
      <c r="X2488" s="61" t="n"/>
      <c r="Y2488" s="61" t="n"/>
    </row>
    <row r="2489" ht="14.25" customHeight="1" s="86">
      <c r="E2489" s="53" t="inlineStr">
        <is>
          <t>SD</t>
        </is>
      </c>
      <c r="F2489" s="53" t="inlineStr">
        <is>
          <t>LYMAN</t>
        </is>
      </c>
      <c r="G2489" s="59" t="n"/>
      <c r="X2489" s="61" t="n"/>
      <c r="Y2489" s="61" t="n"/>
    </row>
    <row r="2490" ht="14.25" customHeight="1" s="86">
      <c r="E2490" s="53" t="inlineStr">
        <is>
          <t>SD</t>
        </is>
      </c>
      <c r="F2490" s="53" t="inlineStr">
        <is>
          <t>MARSHALL</t>
        </is>
      </c>
      <c r="G2490" s="59" t="n"/>
      <c r="X2490" s="61" t="n"/>
      <c r="Y2490" s="61" t="n"/>
    </row>
    <row r="2491" ht="14.25" customHeight="1" s="86">
      <c r="E2491" s="53" t="inlineStr">
        <is>
          <t>SD</t>
        </is>
      </c>
      <c r="F2491" s="53" t="inlineStr">
        <is>
          <t>MCCOOK</t>
        </is>
      </c>
      <c r="G2491" s="59" t="n"/>
      <c r="X2491" s="61" t="n"/>
      <c r="Y2491" s="61" t="n"/>
    </row>
    <row r="2492" ht="14.25" customHeight="1" s="86">
      <c r="E2492" s="53" t="inlineStr">
        <is>
          <t>SD</t>
        </is>
      </c>
      <c r="F2492" s="53" t="inlineStr">
        <is>
          <t>MCPHERSON</t>
        </is>
      </c>
      <c r="G2492" s="59" t="n"/>
      <c r="X2492" s="61" t="n"/>
      <c r="Y2492" s="61" t="n"/>
    </row>
    <row r="2493" ht="14.25" customHeight="1" s="86">
      <c r="E2493" s="53" t="inlineStr">
        <is>
          <t>SD</t>
        </is>
      </c>
      <c r="F2493" s="53" t="inlineStr">
        <is>
          <t>MEADE</t>
        </is>
      </c>
      <c r="G2493" s="59" t="n"/>
      <c r="X2493" s="61" t="n"/>
      <c r="Y2493" s="61" t="n"/>
    </row>
    <row r="2494" ht="14.25" customHeight="1" s="86">
      <c r="E2494" s="53" t="inlineStr">
        <is>
          <t>SD</t>
        </is>
      </c>
      <c r="F2494" s="53" t="inlineStr">
        <is>
          <t>MELLETTE</t>
        </is>
      </c>
      <c r="G2494" s="59" t="n"/>
      <c r="X2494" s="61" t="n"/>
      <c r="Y2494" s="61" t="n"/>
    </row>
    <row r="2495" ht="14.25" customHeight="1" s="86">
      <c r="E2495" s="53" t="inlineStr">
        <is>
          <t>SD</t>
        </is>
      </c>
      <c r="F2495" s="53" t="inlineStr">
        <is>
          <t>MINER</t>
        </is>
      </c>
      <c r="G2495" s="59" t="n"/>
      <c r="X2495" s="61" t="n"/>
      <c r="Y2495" s="61" t="n"/>
    </row>
    <row r="2496" ht="14.25" customHeight="1" s="86">
      <c r="E2496" s="53" t="inlineStr">
        <is>
          <t>SD</t>
        </is>
      </c>
      <c r="F2496" s="53" t="inlineStr">
        <is>
          <t>MINNEHAHA</t>
        </is>
      </c>
      <c r="G2496" s="59" t="n"/>
      <c r="X2496" s="61" t="n"/>
      <c r="Y2496" s="61" t="n"/>
    </row>
    <row r="2497" ht="14.25" customHeight="1" s="86">
      <c r="E2497" s="53" t="inlineStr">
        <is>
          <t>SD</t>
        </is>
      </c>
      <c r="F2497" s="53" t="inlineStr">
        <is>
          <t>MOODY</t>
        </is>
      </c>
      <c r="G2497" s="59" t="n"/>
      <c r="X2497" s="61" t="n"/>
      <c r="Y2497" s="61" t="n"/>
    </row>
    <row r="2498" ht="14.25" customHeight="1" s="86">
      <c r="E2498" s="53" t="inlineStr">
        <is>
          <t>SD</t>
        </is>
      </c>
      <c r="F2498" s="53" t="inlineStr">
        <is>
          <t>OGLALA LAKOTA</t>
        </is>
      </c>
      <c r="G2498" s="59" t="n"/>
      <c r="X2498" s="61" t="n"/>
      <c r="Y2498" s="61" t="n"/>
    </row>
    <row r="2499" ht="14.25" customHeight="1" s="86">
      <c r="E2499" s="53" t="inlineStr">
        <is>
          <t>SD</t>
        </is>
      </c>
      <c r="F2499" s="53" t="inlineStr">
        <is>
          <t>PENNINGTON</t>
        </is>
      </c>
      <c r="G2499" s="59" t="n"/>
      <c r="X2499" s="61" t="n"/>
      <c r="Y2499" s="61" t="n"/>
    </row>
    <row r="2500" ht="14.25" customHeight="1" s="86">
      <c r="E2500" s="53" t="inlineStr">
        <is>
          <t>SD</t>
        </is>
      </c>
      <c r="F2500" s="53" t="inlineStr">
        <is>
          <t>PERKINS</t>
        </is>
      </c>
      <c r="G2500" s="59" t="n"/>
      <c r="X2500" s="61" t="n"/>
      <c r="Y2500" s="61" t="n"/>
    </row>
    <row r="2501" ht="14.25" customHeight="1" s="86">
      <c r="E2501" s="53" t="inlineStr">
        <is>
          <t>SD</t>
        </is>
      </c>
      <c r="F2501" s="53" t="inlineStr">
        <is>
          <t>POTTER</t>
        </is>
      </c>
      <c r="G2501" s="59" t="n"/>
      <c r="X2501" s="61" t="n"/>
      <c r="Y2501" s="61" t="n"/>
    </row>
    <row r="2502" ht="14.25" customHeight="1" s="86">
      <c r="E2502" s="53" t="inlineStr">
        <is>
          <t>SD</t>
        </is>
      </c>
      <c r="F2502" s="53" t="inlineStr">
        <is>
          <t>ROBERTS</t>
        </is>
      </c>
      <c r="G2502" s="59" t="n"/>
      <c r="X2502" s="61" t="n"/>
      <c r="Y2502" s="61" t="n"/>
    </row>
    <row r="2503" ht="14.25" customHeight="1" s="86">
      <c r="E2503" s="53" t="inlineStr">
        <is>
          <t>SD</t>
        </is>
      </c>
      <c r="F2503" s="53" t="inlineStr">
        <is>
          <t>SANBORN</t>
        </is>
      </c>
      <c r="G2503" s="59" t="n"/>
      <c r="X2503" s="61" t="n"/>
      <c r="Y2503" s="61" t="n"/>
    </row>
    <row r="2504" ht="14.25" customHeight="1" s="86">
      <c r="E2504" s="53" t="inlineStr">
        <is>
          <t>SD</t>
        </is>
      </c>
      <c r="F2504" s="53" t="inlineStr">
        <is>
          <t>SHANNON</t>
        </is>
      </c>
      <c r="G2504" s="59" t="n"/>
      <c r="X2504" s="61" t="n"/>
      <c r="Y2504" s="61" t="n"/>
    </row>
    <row r="2505" ht="14.25" customHeight="1" s="86">
      <c r="E2505" s="53" t="inlineStr">
        <is>
          <t>SD</t>
        </is>
      </c>
      <c r="F2505" s="53" t="inlineStr">
        <is>
          <t>SPINK</t>
        </is>
      </c>
      <c r="G2505" s="59" t="n"/>
      <c r="X2505" s="61" t="n"/>
      <c r="Y2505" s="61" t="n"/>
    </row>
    <row r="2506" ht="14.25" customHeight="1" s="86">
      <c r="E2506" s="53" t="inlineStr">
        <is>
          <t>SD</t>
        </is>
      </c>
      <c r="F2506" s="53" t="inlineStr">
        <is>
          <t>STANLEY</t>
        </is>
      </c>
      <c r="G2506" s="59" t="n"/>
      <c r="X2506" s="61" t="n"/>
      <c r="Y2506" s="61" t="n"/>
    </row>
    <row r="2507" ht="14.25" customHeight="1" s="86">
      <c r="E2507" s="53" t="inlineStr">
        <is>
          <t>SD</t>
        </is>
      </c>
      <c r="F2507" s="53" t="inlineStr">
        <is>
          <t>SULLY</t>
        </is>
      </c>
      <c r="G2507" s="59" t="n"/>
      <c r="X2507" s="61" t="n"/>
      <c r="Y2507" s="61" t="n"/>
    </row>
    <row r="2508" ht="14.25" customHeight="1" s="86">
      <c r="E2508" s="53" t="inlineStr">
        <is>
          <t>SD</t>
        </is>
      </c>
      <c r="F2508" s="53" t="inlineStr">
        <is>
          <t>TODD</t>
        </is>
      </c>
      <c r="G2508" s="59" t="n"/>
      <c r="X2508" s="61" t="n"/>
      <c r="Y2508" s="61" t="n"/>
    </row>
    <row r="2509" ht="14.25" customHeight="1" s="86">
      <c r="E2509" s="53" t="inlineStr">
        <is>
          <t>SD</t>
        </is>
      </c>
      <c r="F2509" s="53" t="inlineStr">
        <is>
          <t>TRIPP</t>
        </is>
      </c>
      <c r="G2509" s="59" t="n"/>
      <c r="X2509" s="61" t="n"/>
      <c r="Y2509" s="61" t="n"/>
    </row>
    <row r="2510" ht="14.25" customHeight="1" s="86">
      <c r="E2510" s="53" t="inlineStr">
        <is>
          <t>SD</t>
        </is>
      </c>
      <c r="F2510" s="53" t="inlineStr">
        <is>
          <t>TURNER</t>
        </is>
      </c>
      <c r="G2510" s="59" t="n"/>
      <c r="X2510" s="61" t="n"/>
      <c r="Y2510" s="61" t="n"/>
    </row>
    <row r="2511" ht="14.25" customHeight="1" s="86">
      <c r="E2511" s="53" t="inlineStr">
        <is>
          <t>SD</t>
        </is>
      </c>
      <c r="F2511" s="53" t="inlineStr">
        <is>
          <t>UNION</t>
        </is>
      </c>
      <c r="G2511" s="59" t="n"/>
      <c r="X2511" s="61" t="n"/>
      <c r="Y2511" s="61" t="n"/>
    </row>
    <row r="2512" ht="14.25" customHeight="1" s="86">
      <c r="E2512" s="53" t="inlineStr">
        <is>
          <t>SD</t>
        </is>
      </c>
      <c r="F2512" s="53" t="inlineStr">
        <is>
          <t>WALWORTH</t>
        </is>
      </c>
      <c r="G2512" s="59" t="n"/>
      <c r="X2512" s="61" t="n"/>
      <c r="Y2512" s="61" t="n"/>
    </row>
    <row r="2513" ht="14.25" customHeight="1" s="86">
      <c r="E2513" s="53" t="inlineStr">
        <is>
          <t>SD</t>
        </is>
      </c>
      <c r="F2513" s="53" t="inlineStr">
        <is>
          <t>YANKTON</t>
        </is>
      </c>
      <c r="G2513" s="59" t="n"/>
      <c r="X2513" s="61" t="n"/>
      <c r="Y2513" s="61" t="n"/>
    </row>
    <row r="2514" ht="14.25" customHeight="1" s="86">
      <c r="E2514" s="53" t="inlineStr">
        <is>
          <t>SD</t>
        </is>
      </c>
      <c r="F2514" s="53" t="inlineStr">
        <is>
          <t>ZIEBACH</t>
        </is>
      </c>
      <c r="G2514" s="59" t="n"/>
      <c r="X2514" s="61" t="n"/>
      <c r="Y2514" s="61" t="n"/>
    </row>
    <row r="2515" ht="14.25" customHeight="1" s="86">
      <c r="E2515" s="53" t="inlineStr">
        <is>
          <t>TN</t>
        </is>
      </c>
      <c r="F2515" s="53" t="inlineStr">
        <is>
          <t>ANDERSON</t>
        </is>
      </c>
      <c r="G2515" s="59" t="n"/>
      <c r="X2515" s="61" t="n"/>
      <c r="Y2515" s="61" t="n"/>
    </row>
    <row r="2516" ht="14.25" customHeight="1" s="86">
      <c r="E2516" s="53" t="inlineStr">
        <is>
          <t>TN</t>
        </is>
      </c>
      <c r="F2516" s="53" t="inlineStr">
        <is>
          <t>BEDFORD</t>
        </is>
      </c>
      <c r="G2516" s="59" t="n"/>
      <c r="X2516" s="61" t="n"/>
      <c r="Y2516" s="61" t="n"/>
    </row>
    <row r="2517" ht="14.25" customHeight="1" s="86">
      <c r="E2517" s="53" t="inlineStr">
        <is>
          <t>TN</t>
        </is>
      </c>
      <c r="F2517" s="53" t="inlineStr">
        <is>
          <t>BENTON</t>
        </is>
      </c>
      <c r="G2517" s="59" t="n"/>
      <c r="X2517" s="61" t="n"/>
      <c r="Y2517" s="61" t="n"/>
    </row>
    <row r="2518" ht="14.25" customHeight="1" s="86">
      <c r="E2518" s="53" t="inlineStr">
        <is>
          <t>TN</t>
        </is>
      </c>
      <c r="F2518" s="53" t="inlineStr">
        <is>
          <t>BLEDSOE</t>
        </is>
      </c>
      <c r="G2518" s="59" t="n"/>
      <c r="X2518" s="61" t="n"/>
      <c r="Y2518" s="61" t="n"/>
    </row>
    <row r="2519" ht="14.25" customHeight="1" s="86">
      <c r="E2519" s="53" t="inlineStr">
        <is>
          <t>TN</t>
        </is>
      </c>
      <c r="F2519" s="53" t="inlineStr">
        <is>
          <t>BLOUNT</t>
        </is>
      </c>
      <c r="G2519" s="59" t="n"/>
      <c r="X2519" s="61" t="n"/>
      <c r="Y2519" s="61" t="n"/>
    </row>
    <row r="2520" ht="14.25" customHeight="1" s="86">
      <c r="E2520" s="53" t="inlineStr">
        <is>
          <t>TN</t>
        </is>
      </c>
      <c r="F2520" s="53" t="inlineStr">
        <is>
          <t>BRADLEY</t>
        </is>
      </c>
      <c r="G2520" s="59" t="n"/>
      <c r="X2520" s="61" t="n"/>
      <c r="Y2520" s="61" t="n"/>
    </row>
    <row r="2521" ht="14.25" customHeight="1" s="86">
      <c r="E2521" s="53" t="inlineStr">
        <is>
          <t>TN</t>
        </is>
      </c>
      <c r="F2521" s="53" t="inlineStr">
        <is>
          <t>CAMPBELL</t>
        </is>
      </c>
      <c r="G2521" s="59" t="n"/>
      <c r="X2521" s="61" t="n"/>
      <c r="Y2521" s="61" t="n"/>
    </row>
    <row r="2522" ht="14.25" customHeight="1" s="86">
      <c r="E2522" s="53" t="inlineStr">
        <is>
          <t>TN</t>
        </is>
      </c>
      <c r="F2522" s="53" t="inlineStr">
        <is>
          <t>CANNON</t>
        </is>
      </c>
      <c r="G2522" s="59" t="n"/>
      <c r="X2522" s="61" t="n"/>
      <c r="Y2522" s="61" t="n"/>
    </row>
    <row r="2523" ht="14.25" customHeight="1" s="86">
      <c r="E2523" s="53" t="inlineStr">
        <is>
          <t>TN</t>
        </is>
      </c>
      <c r="F2523" s="53" t="inlineStr">
        <is>
          <t>CARROLL</t>
        </is>
      </c>
      <c r="G2523" s="59" t="n"/>
      <c r="X2523" s="61" t="n"/>
      <c r="Y2523" s="61" t="n"/>
    </row>
    <row r="2524" ht="14.25" customHeight="1" s="86">
      <c r="E2524" s="53" t="inlineStr">
        <is>
          <t>TN</t>
        </is>
      </c>
      <c r="F2524" s="53" t="inlineStr">
        <is>
          <t>CARTER</t>
        </is>
      </c>
      <c r="G2524" s="59" t="n"/>
      <c r="X2524" s="61" t="n"/>
      <c r="Y2524" s="61" t="n"/>
    </row>
    <row r="2525" ht="14.25" customHeight="1" s="86">
      <c r="E2525" s="53" t="inlineStr">
        <is>
          <t>TN</t>
        </is>
      </c>
      <c r="F2525" s="53" t="inlineStr">
        <is>
          <t>CHEATHAM</t>
        </is>
      </c>
      <c r="G2525" s="59" t="n"/>
      <c r="X2525" s="61" t="n"/>
      <c r="Y2525" s="61" t="n"/>
    </row>
    <row r="2526" ht="14.25" customHeight="1" s="86">
      <c r="E2526" s="53" t="inlineStr">
        <is>
          <t>TN</t>
        </is>
      </c>
      <c r="F2526" s="53" t="inlineStr">
        <is>
          <t>CHESTER</t>
        </is>
      </c>
      <c r="G2526" s="59" t="n"/>
      <c r="X2526" s="61" t="n"/>
      <c r="Y2526" s="61" t="n"/>
    </row>
    <row r="2527" ht="14.25" customHeight="1" s="86">
      <c r="E2527" s="53" t="inlineStr">
        <is>
          <t>TN</t>
        </is>
      </c>
      <c r="F2527" s="53" t="inlineStr">
        <is>
          <t>CLAIBORNE</t>
        </is>
      </c>
      <c r="G2527" s="59" t="n"/>
      <c r="X2527" s="61" t="n"/>
      <c r="Y2527" s="61" t="n"/>
    </row>
    <row r="2528" ht="14.25" customHeight="1" s="86">
      <c r="E2528" s="53" t="inlineStr">
        <is>
          <t>TN</t>
        </is>
      </c>
      <c r="F2528" s="53" t="inlineStr">
        <is>
          <t>CLAY</t>
        </is>
      </c>
      <c r="G2528" s="59" t="n"/>
      <c r="X2528" s="61" t="n"/>
      <c r="Y2528" s="61" t="n"/>
    </row>
    <row r="2529" ht="14.25" customHeight="1" s="86">
      <c r="E2529" s="53" t="inlineStr">
        <is>
          <t>TN</t>
        </is>
      </c>
      <c r="F2529" s="53" t="inlineStr">
        <is>
          <t>COCKE</t>
        </is>
      </c>
      <c r="G2529" s="59" t="n"/>
      <c r="X2529" s="61" t="n"/>
      <c r="Y2529" s="61" t="n"/>
    </row>
    <row r="2530" ht="14.25" customHeight="1" s="86">
      <c r="E2530" s="53" t="inlineStr">
        <is>
          <t>TN</t>
        </is>
      </c>
      <c r="F2530" s="53" t="inlineStr">
        <is>
          <t>COFFEE</t>
        </is>
      </c>
      <c r="G2530" s="59" t="n"/>
      <c r="X2530" s="61" t="n"/>
      <c r="Y2530" s="61" t="n"/>
    </row>
    <row r="2531" ht="14.25" customHeight="1" s="86">
      <c r="E2531" s="53" t="inlineStr">
        <is>
          <t>TN</t>
        </is>
      </c>
      <c r="F2531" s="53" t="inlineStr">
        <is>
          <t>CROCKETT</t>
        </is>
      </c>
      <c r="G2531" s="59" t="n"/>
      <c r="X2531" s="61" t="n"/>
      <c r="Y2531" s="61" t="n"/>
    </row>
    <row r="2532" ht="14.25" customHeight="1" s="86">
      <c r="E2532" s="53" t="inlineStr">
        <is>
          <t>TN</t>
        </is>
      </c>
      <c r="F2532" s="53" t="inlineStr">
        <is>
          <t>CUMBERLAND</t>
        </is>
      </c>
      <c r="G2532" s="59" t="n"/>
      <c r="X2532" s="61" t="n"/>
      <c r="Y2532" s="61" t="n"/>
    </row>
    <row r="2533" ht="14.25" customHeight="1" s="86">
      <c r="E2533" s="53" t="inlineStr">
        <is>
          <t>TN</t>
        </is>
      </c>
      <c r="F2533" s="53" t="inlineStr">
        <is>
          <t>DAVIDSON</t>
        </is>
      </c>
      <c r="G2533" s="59" t="n"/>
      <c r="X2533" s="61" t="n"/>
      <c r="Y2533" s="61" t="n"/>
    </row>
    <row r="2534" ht="14.25" customHeight="1" s="86">
      <c r="E2534" s="53" t="inlineStr">
        <is>
          <t>TN</t>
        </is>
      </c>
      <c r="F2534" s="53" t="inlineStr">
        <is>
          <t>DECATUR</t>
        </is>
      </c>
      <c r="G2534" s="59" t="n"/>
      <c r="X2534" s="61" t="n"/>
      <c r="Y2534" s="61" t="n"/>
    </row>
    <row r="2535" ht="14.25" customHeight="1" s="86">
      <c r="E2535" s="53" t="inlineStr">
        <is>
          <t>TN</t>
        </is>
      </c>
      <c r="F2535" s="53" t="inlineStr">
        <is>
          <t>DEKALB</t>
        </is>
      </c>
      <c r="G2535" s="59" t="n"/>
      <c r="X2535" s="61" t="n"/>
      <c r="Y2535" s="61" t="n"/>
    </row>
    <row r="2536" ht="14.25" customHeight="1" s="86">
      <c r="E2536" s="53" t="inlineStr">
        <is>
          <t>TN</t>
        </is>
      </c>
      <c r="F2536" s="53" t="inlineStr">
        <is>
          <t>DICKSON</t>
        </is>
      </c>
      <c r="G2536" s="59" t="n"/>
      <c r="X2536" s="61" t="n"/>
      <c r="Y2536" s="61" t="n"/>
    </row>
    <row r="2537" ht="14.25" customHeight="1" s="86">
      <c r="E2537" s="53" t="inlineStr">
        <is>
          <t>TN</t>
        </is>
      </c>
      <c r="F2537" s="53" t="inlineStr">
        <is>
          <t>DYER</t>
        </is>
      </c>
      <c r="G2537" s="59" t="n"/>
      <c r="X2537" s="61" t="n"/>
      <c r="Y2537" s="61" t="n"/>
    </row>
    <row r="2538" ht="14.25" customHeight="1" s="86">
      <c r="E2538" s="53" t="inlineStr">
        <is>
          <t>TN</t>
        </is>
      </c>
      <c r="F2538" s="53" t="inlineStr">
        <is>
          <t>FAYETTE</t>
        </is>
      </c>
      <c r="G2538" s="59" t="n"/>
      <c r="X2538" s="61" t="n"/>
      <c r="Y2538" s="61" t="n"/>
    </row>
    <row r="2539" ht="14.25" customHeight="1" s="86">
      <c r="E2539" s="53" t="inlineStr">
        <is>
          <t>TN</t>
        </is>
      </c>
      <c r="F2539" s="53" t="inlineStr">
        <is>
          <t>FENTRESS</t>
        </is>
      </c>
      <c r="G2539" s="59" t="n"/>
      <c r="X2539" s="61" t="n"/>
      <c r="Y2539" s="61" t="n"/>
    </row>
    <row r="2540" ht="14.25" customHeight="1" s="86">
      <c r="E2540" s="53" t="inlineStr">
        <is>
          <t>TN</t>
        </is>
      </c>
      <c r="F2540" s="53" t="inlineStr">
        <is>
          <t>FRANKLIN</t>
        </is>
      </c>
      <c r="G2540" s="59" t="n"/>
      <c r="X2540" s="61" t="n"/>
      <c r="Y2540" s="61" t="n"/>
    </row>
    <row r="2541" ht="14.25" customHeight="1" s="86">
      <c r="E2541" s="53" t="inlineStr">
        <is>
          <t>TN</t>
        </is>
      </c>
      <c r="F2541" s="53" t="inlineStr">
        <is>
          <t>GIBSON</t>
        </is>
      </c>
      <c r="G2541" s="59" t="n"/>
      <c r="X2541" s="61" t="n"/>
      <c r="Y2541" s="61" t="n"/>
    </row>
    <row r="2542" ht="14.25" customHeight="1" s="86">
      <c r="E2542" s="53" t="inlineStr">
        <is>
          <t>TN</t>
        </is>
      </c>
      <c r="F2542" s="53" t="inlineStr">
        <is>
          <t>GILES</t>
        </is>
      </c>
      <c r="G2542" s="59" t="n"/>
      <c r="X2542" s="61" t="n"/>
      <c r="Y2542" s="61" t="n"/>
    </row>
    <row r="2543" ht="14.25" customHeight="1" s="86">
      <c r="E2543" s="53" t="inlineStr">
        <is>
          <t>TN</t>
        </is>
      </c>
      <c r="F2543" s="53" t="inlineStr">
        <is>
          <t>GRAINGER</t>
        </is>
      </c>
      <c r="G2543" s="59" t="n"/>
      <c r="X2543" s="61" t="n"/>
      <c r="Y2543" s="61" t="n"/>
    </row>
    <row r="2544" ht="14.25" customHeight="1" s="86">
      <c r="E2544" s="53" t="inlineStr">
        <is>
          <t>TN</t>
        </is>
      </c>
      <c r="F2544" s="53" t="inlineStr">
        <is>
          <t>GREENE</t>
        </is>
      </c>
      <c r="G2544" s="59" t="n"/>
      <c r="X2544" s="61" t="n"/>
      <c r="Y2544" s="61" t="n"/>
    </row>
    <row r="2545" ht="14.25" customHeight="1" s="86">
      <c r="E2545" s="53" t="inlineStr">
        <is>
          <t>TN</t>
        </is>
      </c>
      <c r="F2545" s="53" t="inlineStr">
        <is>
          <t>GRUNDY</t>
        </is>
      </c>
      <c r="G2545" s="59" t="n"/>
      <c r="X2545" s="61" t="n"/>
      <c r="Y2545" s="61" t="n"/>
    </row>
    <row r="2546" ht="14.25" customHeight="1" s="86">
      <c r="E2546" s="53" t="inlineStr">
        <is>
          <t>TN</t>
        </is>
      </c>
      <c r="F2546" s="53" t="inlineStr">
        <is>
          <t>HAMBLEN</t>
        </is>
      </c>
      <c r="G2546" s="59" t="n"/>
      <c r="X2546" s="61" t="n"/>
      <c r="Y2546" s="61" t="n"/>
    </row>
    <row r="2547" ht="14.25" customHeight="1" s="86">
      <c r="E2547" s="53" t="inlineStr">
        <is>
          <t>TN</t>
        </is>
      </c>
      <c r="F2547" s="53" t="inlineStr">
        <is>
          <t>HAMILTON</t>
        </is>
      </c>
      <c r="G2547" s="59" t="n"/>
      <c r="X2547" s="61" t="n"/>
      <c r="Y2547" s="61" t="n"/>
    </row>
    <row r="2548" ht="14.25" customHeight="1" s="86">
      <c r="E2548" s="53" t="inlineStr">
        <is>
          <t>TN</t>
        </is>
      </c>
      <c r="F2548" s="53" t="inlineStr">
        <is>
          <t>HANCOCK</t>
        </is>
      </c>
      <c r="G2548" s="59" t="n"/>
      <c r="X2548" s="61" t="n"/>
      <c r="Y2548" s="61" t="n"/>
    </row>
    <row r="2549" ht="14.25" customHeight="1" s="86">
      <c r="E2549" s="53" t="inlineStr">
        <is>
          <t>TN</t>
        </is>
      </c>
      <c r="F2549" s="53" t="inlineStr">
        <is>
          <t>HARDEMAN</t>
        </is>
      </c>
      <c r="G2549" s="59" t="n"/>
      <c r="X2549" s="61" t="n"/>
      <c r="Y2549" s="61" t="n"/>
    </row>
    <row r="2550" ht="14.25" customHeight="1" s="86">
      <c r="E2550" s="53" t="inlineStr">
        <is>
          <t>TN</t>
        </is>
      </c>
      <c r="F2550" s="53" t="inlineStr">
        <is>
          <t>HARDIN</t>
        </is>
      </c>
      <c r="G2550" s="59" t="n"/>
      <c r="X2550" s="61" t="n"/>
      <c r="Y2550" s="61" t="n"/>
    </row>
    <row r="2551" ht="14.25" customHeight="1" s="86">
      <c r="E2551" s="53" t="inlineStr">
        <is>
          <t>TN</t>
        </is>
      </c>
      <c r="F2551" s="53" t="inlineStr">
        <is>
          <t>HAWKINS</t>
        </is>
      </c>
      <c r="G2551" s="59" t="n"/>
      <c r="X2551" s="61" t="n"/>
      <c r="Y2551" s="61" t="n"/>
    </row>
    <row r="2552" ht="14.25" customHeight="1" s="86">
      <c r="E2552" s="53" t="inlineStr">
        <is>
          <t>TN</t>
        </is>
      </c>
      <c r="F2552" s="53" t="inlineStr">
        <is>
          <t>HAYWOOD</t>
        </is>
      </c>
      <c r="G2552" s="59" t="n"/>
      <c r="X2552" s="61" t="n"/>
      <c r="Y2552" s="61" t="n"/>
    </row>
    <row r="2553" ht="14.25" customHeight="1" s="86">
      <c r="E2553" s="53" t="inlineStr">
        <is>
          <t>TN</t>
        </is>
      </c>
      <c r="F2553" s="53" t="inlineStr">
        <is>
          <t>HENDERSON</t>
        </is>
      </c>
      <c r="G2553" s="59" t="n"/>
      <c r="X2553" s="61" t="n"/>
      <c r="Y2553" s="61" t="n"/>
    </row>
    <row r="2554" ht="14.25" customHeight="1" s="86">
      <c r="E2554" s="53" t="inlineStr">
        <is>
          <t>TN</t>
        </is>
      </c>
      <c r="F2554" s="53" t="inlineStr">
        <is>
          <t>HENRY</t>
        </is>
      </c>
      <c r="G2554" s="59" t="n"/>
      <c r="X2554" s="61" t="n"/>
      <c r="Y2554" s="61" t="n"/>
    </row>
    <row r="2555" ht="14.25" customHeight="1" s="86">
      <c r="E2555" s="53" t="inlineStr">
        <is>
          <t>TN</t>
        </is>
      </c>
      <c r="F2555" s="53" t="inlineStr">
        <is>
          <t>HICKMAN</t>
        </is>
      </c>
      <c r="G2555" s="59" t="n"/>
      <c r="X2555" s="61" t="n"/>
      <c r="Y2555" s="61" t="n"/>
    </row>
    <row r="2556" ht="14.25" customHeight="1" s="86">
      <c r="E2556" s="53" t="inlineStr">
        <is>
          <t>TN</t>
        </is>
      </c>
      <c r="F2556" s="53" t="inlineStr">
        <is>
          <t>HOUSTON</t>
        </is>
      </c>
      <c r="G2556" s="59" t="n"/>
      <c r="X2556" s="61" t="n"/>
      <c r="Y2556" s="61" t="n"/>
    </row>
    <row r="2557" ht="14.25" customHeight="1" s="86">
      <c r="E2557" s="53" t="inlineStr">
        <is>
          <t>TN</t>
        </is>
      </c>
      <c r="F2557" s="53" t="inlineStr">
        <is>
          <t>HUMPHREYS</t>
        </is>
      </c>
      <c r="G2557" s="59" t="n"/>
      <c r="X2557" s="61" t="n"/>
      <c r="Y2557" s="61" t="n"/>
    </row>
    <row r="2558" ht="14.25" customHeight="1" s="86">
      <c r="E2558" s="53" t="inlineStr">
        <is>
          <t>TN</t>
        </is>
      </c>
      <c r="F2558" s="53" t="inlineStr">
        <is>
          <t>JACKSON</t>
        </is>
      </c>
      <c r="G2558" s="59" t="n"/>
      <c r="X2558" s="61" t="n"/>
      <c r="Y2558" s="61" t="n"/>
    </row>
    <row r="2559" ht="14.25" customHeight="1" s="86">
      <c r="E2559" s="53" t="inlineStr">
        <is>
          <t>TN</t>
        </is>
      </c>
      <c r="F2559" s="53" t="inlineStr">
        <is>
          <t>JEFFERSON</t>
        </is>
      </c>
      <c r="G2559" s="59" t="n"/>
      <c r="X2559" s="61" t="n"/>
      <c r="Y2559" s="61" t="n"/>
    </row>
    <row r="2560" ht="14.25" customHeight="1" s="86">
      <c r="E2560" s="53" t="inlineStr">
        <is>
          <t>TN</t>
        </is>
      </c>
      <c r="F2560" s="53" t="inlineStr">
        <is>
          <t>JOHNSON</t>
        </is>
      </c>
      <c r="G2560" s="59" t="n"/>
      <c r="X2560" s="61" t="n"/>
      <c r="Y2560" s="61" t="n"/>
    </row>
    <row r="2561" ht="14.25" customHeight="1" s="86">
      <c r="E2561" s="53" t="inlineStr">
        <is>
          <t>TN</t>
        </is>
      </c>
      <c r="F2561" s="53" t="inlineStr">
        <is>
          <t>KNOX</t>
        </is>
      </c>
      <c r="G2561" s="59" t="n"/>
      <c r="X2561" s="61" t="n"/>
      <c r="Y2561" s="61" t="n"/>
    </row>
    <row r="2562" ht="14.25" customHeight="1" s="86">
      <c r="E2562" s="53" t="inlineStr">
        <is>
          <t>TN</t>
        </is>
      </c>
      <c r="F2562" s="53" t="inlineStr">
        <is>
          <t>LAKE</t>
        </is>
      </c>
      <c r="G2562" s="59" t="n"/>
      <c r="X2562" s="61" t="n"/>
      <c r="Y2562" s="61" t="n"/>
    </row>
    <row r="2563" ht="14.25" customHeight="1" s="86">
      <c r="E2563" s="53" t="inlineStr">
        <is>
          <t>TN</t>
        </is>
      </c>
      <c r="F2563" s="53" t="inlineStr">
        <is>
          <t>LAUDERDALE</t>
        </is>
      </c>
      <c r="G2563" s="59" t="n"/>
      <c r="X2563" s="61" t="n"/>
      <c r="Y2563" s="61" t="n"/>
    </row>
    <row r="2564" ht="14.25" customHeight="1" s="86">
      <c r="E2564" s="53" t="inlineStr">
        <is>
          <t>TN</t>
        </is>
      </c>
      <c r="F2564" s="53" t="inlineStr">
        <is>
          <t>LAWRENCE</t>
        </is>
      </c>
      <c r="G2564" s="59" t="n"/>
      <c r="X2564" s="61" t="n"/>
      <c r="Y2564" s="61" t="n"/>
    </row>
    <row r="2565" ht="14.25" customHeight="1" s="86">
      <c r="E2565" s="53" t="inlineStr">
        <is>
          <t>TN</t>
        </is>
      </c>
      <c r="F2565" s="53" t="inlineStr">
        <is>
          <t>LEWIS</t>
        </is>
      </c>
      <c r="G2565" s="59" t="n"/>
      <c r="X2565" s="61" t="n"/>
      <c r="Y2565" s="61" t="n"/>
    </row>
    <row r="2566" ht="14.25" customHeight="1" s="86">
      <c r="E2566" s="53" t="inlineStr">
        <is>
          <t>TN</t>
        </is>
      </c>
      <c r="F2566" s="53" t="inlineStr">
        <is>
          <t>LINCOLN</t>
        </is>
      </c>
      <c r="G2566" s="59" t="n"/>
      <c r="X2566" s="61" t="n"/>
      <c r="Y2566" s="61" t="n"/>
    </row>
    <row r="2567" ht="14.25" customHeight="1" s="86">
      <c r="E2567" s="53" t="inlineStr">
        <is>
          <t>TN</t>
        </is>
      </c>
      <c r="F2567" s="53" t="inlineStr">
        <is>
          <t>LOUDON</t>
        </is>
      </c>
      <c r="G2567" s="59" t="n"/>
      <c r="X2567" s="61" t="n"/>
      <c r="Y2567" s="61" t="n"/>
    </row>
    <row r="2568" ht="14.25" customHeight="1" s="86">
      <c r="E2568" s="53" t="inlineStr">
        <is>
          <t>TN</t>
        </is>
      </c>
      <c r="F2568" s="53" t="inlineStr">
        <is>
          <t>MACON</t>
        </is>
      </c>
      <c r="G2568" s="59" t="n"/>
      <c r="X2568" s="61" t="n"/>
      <c r="Y2568" s="61" t="n"/>
    </row>
    <row r="2569" ht="14.25" customHeight="1" s="86">
      <c r="E2569" s="53" t="inlineStr">
        <is>
          <t>TN</t>
        </is>
      </c>
      <c r="F2569" s="53" t="inlineStr">
        <is>
          <t>MADISON</t>
        </is>
      </c>
      <c r="G2569" s="59" t="n"/>
      <c r="X2569" s="61" t="n"/>
      <c r="Y2569" s="61" t="n"/>
    </row>
    <row r="2570" ht="14.25" customHeight="1" s="86">
      <c r="E2570" s="53" t="inlineStr">
        <is>
          <t>TN</t>
        </is>
      </c>
      <c r="F2570" s="53" t="inlineStr">
        <is>
          <t>MARION</t>
        </is>
      </c>
      <c r="G2570" s="59" t="n"/>
      <c r="X2570" s="61" t="n"/>
      <c r="Y2570" s="61" t="n"/>
    </row>
    <row r="2571" ht="14.25" customHeight="1" s="86">
      <c r="E2571" s="53" t="inlineStr">
        <is>
          <t>TN</t>
        </is>
      </c>
      <c r="F2571" s="53" t="inlineStr">
        <is>
          <t>MARSHALL</t>
        </is>
      </c>
      <c r="G2571" s="59" t="n"/>
      <c r="X2571" s="61" t="n"/>
      <c r="Y2571" s="61" t="n"/>
    </row>
    <row r="2572" ht="14.25" customHeight="1" s="86">
      <c r="E2572" s="53" t="inlineStr">
        <is>
          <t>TN</t>
        </is>
      </c>
      <c r="F2572" s="53" t="inlineStr">
        <is>
          <t>MAURY</t>
        </is>
      </c>
      <c r="G2572" s="59" t="n"/>
      <c r="X2572" s="61" t="n"/>
      <c r="Y2572" s="61" t="n"/>
    </row>
    <row r="2573" ht="14.25" customHeight="1" s="86">
      <c r="E2573" s="53" t="inlineStr">
        <is>
          <t>TN</t>
        </is>
      </c>
      <c r="F2573" s="53" t="inlineStr">
        <is>
          <t>MCMINN</t>
        </is>
      </c>
      <c r="G2573" s="59" t="n"/>
      <c r="X2573" s="61" t="n"/>
      <c r="Y2573" s="61" t="n"/>
    </row>
    <row r="2574" ht="14.25" customHeight="1" s="86">
      <c r="E2574" s="53" t="inlineStr">
        <is>
          <t>TN</t>
        </is>
      </c>
      <c r="F2574" s="53" t="inlineStr">
        <is>
          <t>MCNAIRY</t>
        </is>
      </c>
      <c r="G2574" s="59" t="n"/>
      <c r="X2574" s="61" t="n"/>
      <c r="Y2574" s="61" t="n"/>
    </row>
    <row r="2575" ht="14.25" customHeight="1" s="86">
      <c r="E2575" s="53" t="inlineStr">
        <is>
          <t>TN</t>
        </is>
      </c>
      <c r="F2575" s="53" t="inlineStr">
        <is>
          <t>MEIGS</t>
        </is>
      </c>
      <c r="G2575" s="59" t="n"/>
      <c r="X2575" s="61" t="n"/>
      <c r="Y2575" s="61" t="n"/>
    </row>
    <row r="2576" ht="14.25" customHeight="1" s="86">
      <c r="E2576" s="53" t="inlineStr">
        <is>
          <t>TN</t>
        </is>
      </c>
      <c r="F2576" s="53" t="inlineStr">
        <is>
          <t>MONROE</t>
        </is>
      </c>
      <c r="G2576" s="59" t="n"/>
      <c r="X2576" s="61" t="n"/>
      <c r="Y2576" s="61" t="n"/>
    </row>
    <row r="2577" ht="14.25" customHeight="1" s="86">
      <c r="E2577" s="53" t="inlineStr">
        <is>
          <t>TN</t>
        </is>
      </c>
      <c r="F2577" s="53" t="inlineStr">
        <is>
          <t>MONTGOMERY</t>
        </is>
      </c>
      <c r="G2577" s="59" t="n"/>
      <c r="X2577" s="61" t="n"/>
      <c r="Y2577" s="61" t="n"/>
    </row>
    <row r="2578" ht="14.25" customHeight="1" s="86">
      <c r="E2578" s="53" t="inlineStr">
        <is>
          <t>TN</t>
        </is>
      </c>
      <c r="F2578" s="53" t="inlineStr">
        <is>
          <t>MOORE</t>
        </is>
      </c>
      <c r="G2578" s="59" t="n"/>
      <c r="X2578" s="61" t="n"/>
      <c r="Y2578" s="61" t="n"/>
    </row>
    <row r="2579" ht="14.25" customHeight="1" s="86">
      <c r="E2579" s="53" t="inlineStr">
        <is>
          <t>TN</t>
        </is>
      </c>
      <c r="F2579" s="53" t="inlineStr">
        <is>
          <t>MORGAN</t>
        </is>
      </c>
      <c r="G2579" s="59" t="n"/>
      <c r="X2579" s="61" t="n"/>
      <c r="Y2579" s="61" t="n"/>
    </row>
    <row r="2580" ht="14.25" customHeight="1" s="86">
      <c r="E2580" s="53" t="inlineStr">
        <is>
          <t>TN</t>
        </is>
      </c>
      <c r="F2580" s="53" t="inlineStr">
        <is>
          <t>OBION</t>
        </is>
      </c>
      <c r="G2580" s="59" t="n"/>
      <c r="X2580" s="61" t="n"/>
      <c r="Y2580" s="61" t="n"/>
    </row>
    <row r="2581" ht="14.25" customHeight="1" s="86">
      <c r="E2581" s="53" t="inlineStr">
        <is>
          <t>TN</t>
        </is>
      </c>
      <c r="F2581" s="53" t="inlineStr">
        <is>
          <t>OVERTON</t>
        </is>
      </c>
      <c r="G2581" s="59" t="n"/>
      <c r="X2581" s="61" t="n"/>
      <c r="Y2581" s="61" t="n"/>
    </row>
    <row r="2582" ht="14.25" customHeight="1" s="86">
      <c r="E2582" s="53" t="inlineStr">
        <is>
          <t>TN</t>
        </is>
      </c>
      <c r="F2582" s="53" t="inlineStr">
        <is>
          <t>PERRY</t>
        </is>
      </c>
      <c r="G2582" s="59" t="n"/>
      <c r="X2582" s="61" t="n"/>
      <c r="Y2582" s="61" t="n"/>
    </row>
    <row r="2583" ht="14.25" customHeight="1" s="86">
      <c r="E2583" s="53" t="inlineStr">
        <is>
          <t>TN</t>
        </is>
      </c>
      <c r="F2583" s="53" t="inlineStr">
        <is>
          <t>PICKETT</t>
        </is>
      </c>
      <c r="G2583" s="59" t="n"/>
      <c r="X2583" s="61" t="n"/>
      <c r="Y2583" s="61" t="n"/>
    </row>
    <row r="2584" ht="14.25" customHeight="1" s="86">
      <c r="E2584" s="53" t="inlineStr">
        <is>
          <t>TN</t>
        </is>
      </c>
      <c r="F2584" s="53" t="inlineStr">
        <is>
          <t>POLK</t>
        </is>
      </c>
      <c r="G2584" s="59" t="n"/>
      <c r="X2584" s="61" t="n"/>
      <c r="Y2584" s="61" t="n"/>
    </row>
    <row r="2585" ht="14.25" customHeight="1" s="86">
      <c r="E2585" s="53" t="inlineStr">
        <is>
          <t>TN</t>
        </is>
      </c>
      <c r="F2585" s="53" t="inlineStr">
        <is>
          <t>PUTNAM</t>
        </is>
      </c>
      <c r="G2585" s="59" t="n"/>
      <c r="X2585" s="61" t="n"/>
      <c r="Y2585" s="61" t="n"/>
    </row>
    <row r="2586" ht="14.25" customHeight="1" s="86">
      <c r="E2586" s="53" t="inlineStr">
        <is>
          <t>TN</t>
        </is>
      </c>
      <c r="F2586" s="53" t="inlineStr">
        <is>
          <t>RHEA</t>
        </is>
      </c>
      <c r="G2586" s="59" t="n"/>
      <c r="X2586" s="61" t="n"/>
      <c r="Y2586" s="61" t="n"/>
    </row>
    <row r="2587" ht="14.25" customHeight="1" s="86">
      <c r="E2587" s="53" t="inlineStr">
        <is>
          <t>TN</t>
        </is>
      </c>
      <c r="F2587" s="53" t="inlineStr">
        <is>
          <t>ROANE</t>
        </is>
      </c>
      <c r="G2587" s="59" t="n"/>
      <c r="X2587" s="61" t="n"/>
      <c r="Y2587" s="61" t="n"/>
    </row>
    <row r="2588" ht="14.25" customHeight="1" s="86">
      <c r="E2588" s="53" t="inlineStr">
        <is>
          <t>TN</t>
        </is>
      </c>
      <c r="F2588" s="53" t="inlineStr">
        <is>
          <t>ROBERTSON</t>
        </is>
      </c>
      <c r="G2588" s="59" t="n"/>
      <c r="X2588" s="61" t="n"/>
      <c r="Y2588" s="61" t="n"/>
    </row>
    <row r="2589" ht="14.25" customHeight="1" s="86">
      <c r="E2589" s="53" t="inlineStr">
        <is>
          <t>TN</t>
        </is>
      </c>
      <c r="F2589" s="53" t="inlineStr">
        <is>
          <t>RUTHERFORD</t>
        </is>
      </c>
      <c r="G2589" s="59" t="n"/>
      <c r="X2589" s="61" t="n"/>
      <c r="Y2589" s="61" t="n"/>
    </row>
    <row r="2590" ht="14.25" customHeight="1" s="86">
      <c r="E2590" s="53" t="inlineStr">
        <is>
          <t>TN</t>
        </is>
      </c>
      <c r="F2590" s="53" t="inlineStr">
        <is>
          <t>SCOTT</t>
        </is>
      </c>
      <c r="G2590" s="59" t="n"/>
      <c r="X2590" s="61" t="n"/>
      <c r="Y2590" s="61" t="n"/>
    </row>
    <row r="2591" ht="14.25" customHeight="1" s="86">
      <c r="E2591" s="53" t="inlineStr">
        <is>
          <t>TN</t>
        </is>
      </c>
      <c r="F2591" s="53" t="inlineStr">
        <is>
          <t>SEQUATCHIE</t>
        </is>
      </c>
      <c r="G2591" s="59" t="n"/>
      <c r="X2591" s="61" t="n"/>
      <c r="Y2591" s="61" t="n"/>
    </row>
    <row r="2592" ht="14.25" customHeight="1" s="86">
      <c r="E2592" s="53" t="inlineStr">
        <is>
          <t>TN</t>
        </is>
      </c>
      <c r="F2592" s="53" t="inlineStr">
        <is>
          <t>SEVIER</t>
        </is>
      </c>
      <c r="G2592" s="59" t="n"/>
      <c r="X2592" s="61" t="n"/>
      <c r="Y2592" s="61" t="n"/>
    </row>
    <row r="2593" ht="14.25" customHeight="1" s="86">
      <c r="E2593" s="53" t="inlineStr">
        <is>
          <t>TN</t>
        </is>
      </c>
      <c r="F2593" s="53" t="inlineStr">
        <is>
          <t>SHELBY</t>
        </is>
      </c>
      <c r="G2593" s="59" t="n"/>
      <c r="X2593" s="61" t="n"/>
      <c r="Y2593" s="61" t="n"/>
    </row>
    <row r="2594" ht="14.25" customHeight="1" s="86">
      <c r="E2594" s="53" t="inlineStr">
        <is>
          <t>TN</t>
        </is>
      </c>
      <c r="F2594" s="53" t="inlineStr">
        <is>
          <t>SMITH</t>
        </is>
      </c>
      <c r="G2594" s="59" t="n"/>
      <c r="X2594" s="61" t="n"/>
      <c r="Y2594" s="61" t="n"/>
    </row>
    <row r="2595" ht="14.25" customHeight="1" s="86">
      <c r="E2595" s="53" t="inlineStr">
        <is>
          <t>TN</t>
        </is>
      </c>
      <c r="F2595" s="53" t="inlineStr">
        <is>
          <t>STEWART</t>
        </is>
      </c>
      <c r="G2595" s="59" t="n"/>
      <c r="X2595" s="61" t="n"/>
      <c r="Y2595" s="61" t="n"/>
    </row>
    <row r="2596" ht="14.25" customHeight="1" s="86">
      <c r="E2596" s="53" t="inlineStr">
        <is>
          <t>TN</t>
        </is>
      </c>
      <c r="F2596" s="53" t="inlineStr">
        <is>
          <t>SULLIVAN</t>
        </is>
      </c>
      <c r="G2596" s="59" t="n"/>
      <c r="X2596" s="61" t="n"/>
      <c r="Y2596" s="61" t="n"/>
    </row>
    <row r="2597" ht="14.25" customHeight="1" s="86">
      <c r="E2597" s="53" t="inlineStr">
        <is>
          <t>TN</t>
        </is>
      </c>
      <c r="F2597" s="53" t="inlineStr">
        <is>
          <t>SUMNER</t>
        </is>
      </c>
      <c r="G2597" s="59" t="n"/>
      <c r="X2597" s="61" t="n"/>
      <c r="Y2597" s="61" t="n"/>
    </row>
    <row r="2598" ht="14.25" customHeight="1" s="86">
      <c r="E2598" s="53" t="inlineStr">
        <is>
          <t>TN</t>
        </is>
      </c>
      <c r="F2598" s="53" t="inlineStr">
        <is>
          <t>TIPTON</t>
        </is>
      </c>
      <c r="G2598" s="59" t="n"/>
      <c r="X2598" s="61" t="n"/>
      <c r="Y2598" s="61" t="n"/>
    </row>
    <row r="2599" ht="14.25" customHeight="1" s="86">
      <c r="E2599" s="53" t="inlineStr">
        <is>
          <t>TN</t>
        </is>
      </c>
      <c r="F2599" s="53" t="inlineStr">
        <is>
          <t>TROUSDALE</t>
        </is>
      </c>
      <c r="G2599" s="59" t="n"/>
      <c r="X2599" s="61" t="n"/>
      <c r="Y2599" s="61" t="n"/>
    </row>
    <row r="2600" ht="14.25" customHeight="1" s="86">
      <c r="E2600" s="53" t="inlineStr">
        <is>
          <t>TN</t>
        </is>
      </c>
      <c r="F2600" s="53" t="inlineStr">
        <is>
          <t>UNICOI</t>
        </is>
      </c>
      <c r="G2600" s="59" t="n"/>
      <c r="X2600" s="61" t="n"/>
      <c r="Y2600" s="61" t="n"/>
    </row>
    <row r="2601" ht="14.25" customHeight="1" s="86">
      <c r="E2601" s="53" t="inlineStr">
        <is>
          <t>TN</t>
        </is>
      </c>
      <c r="F2601" s="53" t="inlineStr">
        <is>
          <t>UNION</t>
        </is>
      </c>
      <c r="G2601" s="59" t="n"/>
      <c r="X2601" s="61" t="n"/>
      <c r="Y2601" s="61" t="n"/>
    </row>
    <row r="2602" ht="14.25" customHeight="1" s="86">
      <c r="E2602" s="53" t="inlineStr">
        <is>
          <t>TN</t>
        </is>
      </c>
      <c r="F2602" s="53" t="inlineStr">
        <is>
          <t>VAN BUREN</t>
        </is>
      </c>
      <c r="G2602" s="59" t="n"/>
      <c r="X2602" s="61" t="n"/>
      <c r="Y2602" s="61" t="n"/>
    </row>
    <row r="2603" ht="14.25" customHeight="1" s="86">
      <c r="E2603" s="53" t="inlineStr">
        <is>
          <t>TN</t>
        </is>
      </c>
      <c r="F2603" s="53" t="inlineStr">
        <is>
          <t>WARREN</t>
        </is>
      </c>
      <c r="G2603" s="59" t="n"/>
      <c r="X2603" s="61" t="n"/>
      <c r="Y2603" s="61" t="n"/>
    </row>
    <row r="2604" ht="14.25" customHeight="1" s="86">
      <c r="E2604" s="53" t="inlineStr">
        <is>
          <t>TN</t>
        </is>
      </c>
      <c r="F2604" s="53" t="inlineStr">
        <is>
          <t>WASHINGTON</t>
        </is>
      </c>
      <c r="G2604" s="59" t="n"/>
      <c r="X2604" s="61" t="n"/>
      <c r="Y2604" s="61" t="n"/>
    </row>
    <row r="2605" ht="14.25" customHeight="1" s="86">
      <c r="E2605" s="53" t="inlineStr">
        <is>
          <t>TN</t>
        </is>
      </c>
      <c r="F2605" s="53" t="inlineStr">
        <is>
          <t>WAYNE</t>
        </is>
      </c>
      <c r="G2605" s="59" t="n"/>
      <c r="X2605" s="61" t="n"/>
      <c r="Y2605" s="61" t="n"/>
    </row>
    <row r="2606" ht="14.25" customHeight="1" s="86">
      <c r="E2606" s="53" t="inlineStr">
        <is>
          <t>TN</t>
        </is>
      </c>
      <c r="F2606" s="53" t="inlineStr">
        <is>
          <t>WEAKLEY</t>
        </is>
      </c>
      <c r="G2606" s="59" t="n"/>
      <c r="X2606" s="61" t="n"/>
      <c r="Y2606" s="61" t="n"/>
    </row>
    <row r="2607" ht="14.25" customHeight="1" s="86">
      <c r="E2607" s="53" t="inlineStr">
        <is>
          <t>TN</t>
        </is>
      </c>
      <c r="F2607" s="53" t="inlineStr">
        <is>
          <t>WHITE</t>
        </is>
      </c>
      <c r="G2607" s="59" t="n"/>
      <c r="X2607" s="61" t="n"/>
      <c r="Y2607" s="61" t="n"/>
    </row>
    <row r="2608" ht="14.25" customHeight="1" s="86">
      <c r="E2608" s="53" t="inlineStr">
        <is>
          <t>TN</t>
        </is>
      </c>
      <c r="F2608" s="53" t="inlineStr">
        <is>
          <t>WILLIAMSON</t>
        </is>
      </c>
      <c r="G2608" s="59" t="n"/>
      <c r="X2608" s="61" t="n"/>
      <c r="Y2608" s="61" t="n"/>
    </row>
    <row r="2609" ht="14.25" customHeight="1" s="86">
      <c r="E2609" s="53" t="inlineStr">
        <is>
          <t>TN</t>
        </is>
      </c>
      <c r="F2609" s="53" t="inlineStr">
        <is>
          <t>WILSON</t>
        </is>
      </c>
      <c r="G2609" s="59" t="n"/>
      <c r="X2609" s="61" t="n"/>
      <c r="Y2609" s="61" t="n"/>
    </row>
    <row r="2610" ht="14.25" customHeight="1" s="86">
      <c r="E2610" s="53" t="inlineStr">
        <is>
          <t>TX</t>
        </is>
      </c>
      <c r="F2610" s="53" t="inlineStr">
        <is>
          <t>ANDERSON</t>
        </is>
      </c>
      <c r="G2610" s="59" t="n"/>
      <c r="X2610" s="61" t="n"/>
      <c r="Y2610" s="61" t="n"/>
    </row>
    <row r="2611" ht="14.25" customHeight="1" s="86">
      <c r="E2611" s="53" t="inlineStr">
        <is>
          <t>TX</t>
        </is>
      </c>
      <c r="F2611" s="53" t="inlineStr">
        <is>
          <t>ANDREWS</t>
        </is>
      </c>
      <c r="G2611" s="59" t="n"/>
      <c r="X2611" s="61" t="n"/>
      <c r="Y2611" s="61" t="n"/>
    </row>
    <row r="2612" ht="14.25" customHeight="1" s="86">
      <c r="E2612" s="53" t="inlineStr">
        <is>
          <t>TX</t>
        </is>
      </c>
      <c r="F2612" s="53" t="inlineStr">
        <is>
          <t>ANGELINA</t>
        </is>
      </c>
      <c r="G2612" s="59" t="n"/>
      <c r="X2612" s="61" t="n"/>
      <c r="Y2612" s="61" t="n"/>
    </row>
    <row r="2613" ht="14.25" customHeight="1" s="86">
      <c r="E2613" s="53" t="inlineStr">
        <is>
          <t>TX</t>
        </is>
      </c>
      <c r="F2613" s="53" t="inlineStr">
        <is>
          <t>ARANSAS</t>
        </is>
      </c>
      <c r="G2613" s="59" t="n"/>
      <c r="X2613" s="61" t="n"/>
      <c r="Y2613" s="61" t="n"/>
    </row>
    <row r="2614" ht="14.25" customHeight="1" s="86">
      <c r="E2614" s="53" t="inlineStr">
        <is>
          <t>TX</t>
        </is>
      </c>
      <c r="F2614" s="53" t="inlineStr">
        <is>
          <t>ARCHER</t>
        </is>
      </c>
      <c r="G2614" s="59" t="n"/>
      <c r="X2614" s="61" t="n"/>
      <c r="Y2614" s="61" t="n"/>
    </row>
    <row r="2615" ht="14.25" customHeight="1" s="86">
      <c r="E2615" s="53" t="inlineStr">
        <is>
          <t>TX</t>
        </is>
      </c>
      <c r="F2615" s="53" t="inlineStr">
        <is>
          <t>ARMSTRONG</t>
        </is>
      </c>
      <c r="G2615" s="59" t="n"/>
      <c r="X2615" s="61" t="n"/>
      <c r="Y2615" s="61" t="n"/>
    </row>
    <row r="2616" ht="14.25" customHeight="1" s="86">
      <c r="E2616" s="53" t="inlineStr">
        <is>
          <t>TX</t>
        </is>
      </c>
      <c r="F2616" s="53" t="inlineStr">
        <is>
          <t>ATASCOSA</t>
        </is>
      </c>
      <c r="G2616" s="59" t="n"/>
      <c r="X2616" s="61" t="n"/>
      <c r="Y2616" s="61" t="n"/>
    </row>
    <row r="2617" ht="14.25" customHeight="1" s="86">
      <c r="E2617" s="53" t="inlineStr">
        <is>
          <t>TX</t>
        </is>
      </c>
      <c r="F2617" s="53" t="inlineStr">
        <is>
          <t>AUSTIN</t>
        </is>
      </c>
      <c r="G2617" s="59" t="n"/>
      <c r="X2617" s="61" t="n"/>
      <c r="Y2617" s="61" t="n"/>
    </row>
    <row r="2618" ht="14.25" customHeight="1" s="86">
      <c r="E2618" s="53" t="inlineStr">
        <is>
          <t>TX</t>
        </is>
      </c>
      <c r="F2618" s="53" t="inlineStr">
        <is>
          <t>BAILEY</t>
        </is>
      </c>
      <c r="G2618" s="59" t="n"/>
      <c r="X2618" s="61" t="n"/>
      <c r="Y2618" s="61" t="n"/>
    </row>
    <row r="2619" ht="14.25" customHeight="1" s="86">
      <c r="E2619" s="53" t="inlineStr">
        <is>
          <t>TX</t>
        </is>
      </c>
      <c r="F2619" s="53" t="inlineStr">
        <is>
          <t>BANDERA</t>
        </is>
      </c>
      <c r="G2619" s="59" t="n"/>
      <c r="X2619" s="61" t="n"/>
      <c r="Y2619" s="61" t="n"/>
    </row>
    <row r="2620" ht="14.25" customHeight="1" s="86">
      <c r="E2620" s="53" t="inlineStr">
        <is>
          <t>TX</t>
        </is>
      </c>
      <c r="F2620" s="53" t="inlineStr">
        <is>
          <t>BASTROP</t>
        </is>
      </c>
      <c r="G2620" s="59" t="n"/>
      <c r="X2620" s="61" t="n"/>
      <c r="Y2620" s="61" t="n"/>
    </row>
    <row r="2621" ht="14.25" customHeight="1" s="86">
      <c r="E2621" s="53" t="inlineStr">
        <is>
          <t>TX</t>
        </is>
      </c>
      <c r="F2621" s="53" t="inlineStr">
        <is>
          <t>BAYLOR</t>
        </is>
      </c>
      <c r="G2621" s="59" t="n"/>
      <c r="X2621" s="61" t="n"/>
      <c r="Y2621" s="61" t="n"/>
    </row>
    <row r="2622" ht="14.25" customHeight="1" s="86">
      <c r="E2622" s="53" t="inlineStr">
        <is>
          <t>TX</t>
        </is>
      </c>
      <c r="F2622" s="53" t="inlineStr">
        <is>
          <t>BEE</t>
        </is>
      </c>
      <c r="G2622" s="59" t="n"/>
      <c r="X2622" s="61" t="n"/>
      <c r="Y2622" s="61" t="n"/>
    </row>
    <row r="2623" ht="14.25" customHeight="1" s="86">
      <c r="E2623" s="53" t="inlineStr">
        <is>
          <t>TX</t>
        </is>
      </c>
      <c r="F2623" s="53" t="inlineStr">
        <is>
          <t>BELL</t>
        </is>
      </c>
      <c r="G2623" s="59" t="n"/>
      <c r="X2623" s="61" t="n"/>
      <c r="Y2623" s="61" t="n"/>
    </row>
    <row r="2624" ht="14.25" customHeight="1" s="86">
      <c r="E2624" s="53" t="inlineStr">
        <is>
          <t>TX</t>
        </is>
      </c>
      <c r="F2624" s="53" t="inlineStr">
        <is>
          <t>BEXAR</t>
        </is>
      </c>
      <c r="G2624" s="59" t="n"/>
      <c r="X2624" s="61" t="n"/>
      <c r="Y2624" s="61" t="n"/>
    </row>
    <row r="2625" ht="14.25" customHeight="1" s="86">
      <c r="E2625" s="53" t="inlineStr">
        <is>
          <t>TX</t>
        </is>
      </c>
      <c r="F2625" s="53" t="inlineStr">
        <is>
          <t>BLANCO</t>
        </is>
      </c>
      <c r="G2625" s="59" t="n"/>
      <c r="X2625" s="61" t="n"/>
      <c r="Y2625" s="61" t="n"/>
    </row>
    <row r="2626" ht="14.25" customHeight="1" s="86">
      <c r="E2626" s="53" t="inlineStr">
        <is>
          <t>TX</t>
        </is>
      </c>
      <c r="F2626" s="53" t="inlineStr">
        <is>
          <t>BORDEN</t>
        </is>
      </c>
      <c r="G2626" s="59" t="n"/>
      <c r="X2626" s="61" t="n"/>
      <c r="Y2626" s="61" t="n"/>
    </row>
    <row r="2627" ht="14.25" customHeight="1" s="86">
      <c r="E2627" s="53" t="inlineStr">
        <is>
          <t>TX</t>
        </is>
      </c>
      <c r="F2627" s="53" t="inlineStr">
        <is>
          <t>BOSQUE</t>
        </is>
      </c>
      <c r="G2627" s="59" t="n"/>
      <c r="X2627" s="61" t="n"/>
      <c r="Y2627" s="61" t="n"/>
    </row>
    <row r="2628" ht="14.25" customHeight="1" s="86">
      <c r="E2628" s="53" t="inlineStr">
        <is>
          <t>TX</t>
        </is>
      </c>
      <c r="F2628" s="53" t="inlineStr">
        <is>
          <t>BOWIE</t>
        </is>
      </c>
      <c r="G2628" s="59" t="n"/>
      <c r="X2628" s="61" t="n"/>
      <c r="Y2628" s="61" t="n"/>
    </row>
    <row r="2629" ht="14.25" customHeight="1" s="86">
      <c r="E2629" s="53" t="inlineStr">
        <is>
          <t>TX</t>
        </is>
      </c>
      <c r="F2629" s="53" t="inlineStr">
        <is>
          <t>BRAZORIA</t>
        </is>
      </c>
      <c r="G2629" s="59" t="n"/>
      <c r="X2629" s="61" t="n"/>
      <c r="Y2629" s="61" t="n"/>
    </row>
    <row r="2630" ht="14.25" customHeight="1" s="86">
      <c r="E2630" s="53" t="inlineStr">
        <is>
          <t>TX</t>
        </is>
      </c>
      <c r="F2630" s="53" t="inlineStr">
        <is>
          <t>BRAZOS</t>
        </is>
      </c>
      <c r="G2630" s="59" t="n"/>
      <c r="X2630" s="61" t="n"/>
      <c r="Y2630" s="61" t="n"/>
    </row>
    <row r="2631" ht="14.25" customHeight="1" s="86">
      <c r="E2631" s="53" t="inlineStr">
        <is>
          <t>TX</t>
        </is>
      </c>
      <c r="F2631" s="53" t="inlineStr">
        <is>
          <t>BREWSTER</t>
        </is>
      </c>
      <c r="G2631" s="59" t="n"/>
      <c r="X2631" s="61" t="n"/>
      <c r="Y2631" s="61" t="n"/>
    </row>
    <row r="2632" ht="14.25" customHeight="1" s="86">
      <c r="E2632" s="53" t="inlineStr">
        <is>
          <t>TX</t>
        </is>
      </c>
      <c r="F2632" s="53" t="inlineStr">
        <is>
          <t>BRISCOE</t>
        </is>
      </c>
      <c r="G2632" s="59" t="n"/>
      <c r="X2632" s="61" t="n"/>
      <c r="Y2632" s="61" t="n"/>
    </row>
    <row r="2633" ht="14.25" customHeight="1" s="86">
      <c r="E2633" s="53" t="inlineStr">
        <is>
          <t>TX</t>
        </is>
      </c>
      <c r="F2633" s="53" t="inlineStr">
        <is>
          <t>BROOKS</t>
        </is>
      </c>
      <c r="G2633" s="59" t="n"/>
      <c r="X2633" s="61" t="n"/>
      <c r="Y2633" s="61" t="n"/>
    </row>
    <row r="2634" ht="14.25" customHeight="1" s="86">
      <c r="E2634" s="53" t="inlineStr">
        <is>
          <t>TX</t>
        </is>
      </c>
      <c r="F2634" s="53" t="inlineStr">
        <is>
          <t>BROWN</t>
        </is>
      </c>
      <c r="G2634" s="59" t="n"/>
      <c r="X2634" s="61" t="n"/>
      <c r="Y2634" s="61" t="n"/>
    </row>
    <row r="2635" ht="14.25" customHeight="1" s="86">
      <c r="E2635" s="53" t="inlineStr">
        <is>
          <t>TX</t>
        </is>
      </c>
      <c r="F2635" s="53" t="inlineStr">
        <is>
          <t>BURLESON</t>
        </is>
      </c>
      <c r="G2635" s="59" t="n"/>
      <c r="X2635" s="61" t="n"/>
      <c r="Y2635" s="61" t="n"/>
    </row>
    <row r="2636" ht="14.25" customHeight="1" s="86">
      <c r="E2636" s="53" t="inlineStr">
        <is>
          <t>TX</t>
        </is>
      </c>
      <c r="F2636" s="53" t="inlineStr">
        <is>
          <t>BURNET</t>
        </is>
      </c>
      <c r="G2636" s="59" t="n"/>
      <c r="X2636" s="61" t="n"/>
      <c r="Y2636" s="61" t="n"/>
    </row>
    <row r="2637" ht="14.25" customHeight="1" s="86">
      <c r="E2637" s="53" t="inlineStr">
        <is>
          <t>TX</t>
        </is>
      </c>
      <c r="F2637" s="53" t="inlineStr">
        <is>
          <t>CALDWELL</t>
        </is>
      </c>
      <c r="G2637" s="59" t="n"/>
      <c r="X2637" s="61" t="n"/>
      <c r="Y2637" s="61" t="n"/>
    </row>
    <row r="2638" ht="14.25" customHeight="1" s="86">
      <c r="E2638" s="53" t="inlineStr">
        <is>
          <t>TX</t>
        </is>
      </c>
      <c r="F2638" s="53" t="inlineStr">
        <is>
          <t>CALHOUN</t>
        </is>
      </c>
      <c r="G2638" s="59" t="n"/>
      <c r="X2638" s="61" t="n"/>
      <c r="Y2638" s="61" t="n"/>
    </row>
    <row r="2639" ht="14.25" customHeight="1" s="86">
      <c r="E2639" s="53" t="inlineStr">
        <is>
          <t>TX</t>
        </is>
      </c>
      <c r="F2639" s="53" t="inlineStr">
        <is>
          <t>CALLAHAN</t>
        </is>
      </c>
      <c r="G2639" s="59" t="n"/>
      <c r="X2639" s="61" t="n"/>
      <c r="Y2639" s="61" t="n"/>
    </row>
    <row r="2640" ht="14.25" customHeight="1" s="86">
      <c r="E2640" s="53" t="inlineStr">
        <is>
          <t>TX</t>
        </is>
      </c>
      <c r="F2640" s="53" t="inlineStr">
        <is>
          <t>CAMERON</t>
        </is>
      </c>
      <c r="G2640" s="59" t="n"/>
      <c r="X2640" s="61" t="n"/>
      <c r="Y2640" s="61" t="n"/>
    </row>
    <row r="2641" ht="14.25" customHeight="1" s="86">
      <c r="E2641" s="53" t="inlineStr">
        <is>
          <t>TX</t>
        </is>
      </c>
      <c r="F2641" s="53" t="inlineStr">
        <is>
          <t>CAMP</t>
        </is>
      </c>
      <c r="G2641" s="59" t="n"/>
      <c r="X2641" s="61" t="n"/>
      <c r="Y2641" s="61" t="n"/>
    </row>
    <row r="2642" ht="14.25" customHeight="1" s="86">
      <c r="E2642" s="53" t="inlineStr">
        <is>
          <t>TX</t>
        </is>
      </c>
      <c r="F2642" s="53" t="inlineStr">
        <is>
          <t>CARSON</t>
        </is>
      </c>
      <c r="G2642" s="59" t="n"/>
      <c r="X2642" s="61" t="n"/>
      <c r="Y2642" s="61" t="n"/>
    </row>
    <row r="2643" ht="14.25" customHeight="1" s="86">
      <c r="E2643" s="53" t="inlineStr">
        <is>
          <t>TX</t>
        </is>
      </c>
      <c r="F2643" s="53" t="inlineStr">
        <is>
          <t>CASS</t>
        </is>
      </c>
      <c r="G2643" s="59" t="n"/>
      <c r="X2643" s="61" t="n"/>
      <c r="Y2643" s="61" t="n"/>
    </row>
    <row r="2644" ht="14.25" customHeight="1" s="86">
      <c r="E2644" s="53" t="inlineStr">
        <is>
          <t>TX</t>
        </is>
      </c>
      <c r="F2644" s="53" t="inlineStr">
        <is>
          <t>CASTRO</t>
        </is>
      </c>
      <c r="G2644" s="59" t="n"/>
      <c r="X2644" s="61" t="n"/>
      <c r="Y2644" s="61" t="n"/>
    </row>
    <row r="2645" ht="14.25" customHeight="1" s="86">
      <c r="E2645" s="53" t="inlineStr">
        <is>
          <t>TX</t>
        </is>
      </c>
      <c r="F2645" s="53" t="inlineStr">
        <is>
          <t>CHAMBERS</t>
        </is>
      </c>
      <c r="G2645" s="59" t="n"/>
      <c r="X2645" s="61" t="n"/>
      <c r="Y2645" s="61" t="n"/>
    </row>
    <row r="2646" ht="14.25" customHeight="1" s="86">
      <c r="E2646" s="53" t="inlineStr">
        <is>
          <t>TX</t>
        </is>
      </c>
      <c r="F2646" s="53" t="inlineStr">
        <is>
          <t>CHEROKEE</t>
        </is>
      </c>
      <c r="G2646" s="59" t="n"/>
      <c r="X2646" s="61" t="n"/>
      <c r="Y2646" s="61" t="n"/>
    </row>
    <row r="2647" ht="14.25" customHeight="1" s="86">
      <c r="E2647" s="53" t="inlineStr">
        <is>
          <t>TX</t>
        </is>
      </c>
      <c r="F2647" s="53" t="inlineStr">
        <is>
          <t>CHILDRESS</t>
        </is>
      </c>
      <c r="G2647" s="59" t="n"/>
      <c r="X2647" s="61" t="n"/>
      <c r="Y2647" s="61" t="n"/>
    </row>
    <row r="2648" ht="14.25" customHeight="1" s="86">
      <c r="E2648" s="53" t="inlineStr">
        <is>
          <t>TX</t>
        </is>
      </c>
      <c r="F2648" s="53" t="inlineStr">
        <is>
          <t>CLAY</t>
        </is>
      </c>
      <c r="G2648" s="59" t="n"/>
      <c r="X2648" s="61" t="n"/>
      <c r="Y2648" s="61" t="n"/>
    </row>
    <row r="2649" ht="14.25" customHeight="1" s="86">
      <c r="E2649" s="53" t="inlineStr">
        <is>
          <t>TX</t>
        </is>
      </c>
      <c r="F2649" s="53" t="inlineStr">
        <is>
          <t>COCHRAN</t>
        </is>
      </c>
      <c r="G2649" s="59" t="n"/>
      <c r="X2649" s="61" t="n"/>
      <c r="Y2649" s="61" t="n"/>
    </row>
    <row r="2650" ht="14.25" customHeight="1" s="86">
      <c r="E2650" s="53" t="inlineStr">
        <is>
          <t>TX</t>
        </is>
      </c>
      <c r="F2650" s="53" t="inlineStr">
        <is>
          <t>COKE</t>
        </is>
      </c>
      <c r="G2650" s="59" t="n"/>
      <c r="X2650" s="61" t="n"/>
      <c r="Y2650" s="61" t="n"/>
    </row>
    <row r="2651" ht="14.25" customHeight="1" s="86">
      <c r="E2651" s="53" t="inlineStr">
        <is>
          <t>TX</t>
        </is>
      </c>
      <c r="F2651" s="53" t="inlineStr">
        <is>
          <t>COLEMAN</t>
        </is>
      </c>
      <c r="G2651" s="59" t="n"/>
      <c r="X2651" s="61" t="n"/>
      <c r="Y2651" s="61" t="n"/>
    </row>
    <row r="2652" ht="14.25" customHeight="1" s="86">
      <c r="E2652" s="53" t="inlineStr">
        <is>
          <t>TX</t>
        </is>
      </c>
      <c r="F2652" s="53" t="inlineStr">
        <is>
          <t>COLLIN</t>
        </is>
      </c>
      <c r="G2652" s="59" t="n"/>
      <c r="X2652" s="61" t="n"/>
      <c r="Y2652" s="61" t="n"/>
    </row>
    <row r="2653" ht="14.25" customHeight="1" s="86">
      <c r="E2653" s="53" t="inlineStr">
        <is>
          <t>TX</t>
        </is>
      </c>
      <c r="F2653" s="53" t="inlineStr">
        <is>
          <t>COLLINGSWORTH</t>
        </is>
      </c>
      <c r="G2653" s="59" t="n"/>
      <c r="X2653" s="61" t="n"/>
      <c r="Y2653" s="61" t="n"/>
    </row>
    <row r="2654" ht="14.25" customHeight="1" s="86">
      <c r="E2654" s="53" t="inlineStr">
        <is>
          <t>TX</t>
        </is>
      </c>
      <c r="F2654" s="53" t="inlineStr">
        <is>
          <t>COLORADO</t>
        </is>
      </c>
      <c r="G2654" s="59" t="n"/>
      <c r="X2654" s="61" t="n"/>
      <c r="Y2654" s="61" t="n"/>
    </row>
    <row r="2655" ht="14.25" customHeight="1" s="86">
      <c r="E2655" s="53" t="inlineStr">
        <is>
          <t>TX</t>
        </is>
      </c>
      <c r="F2655" s="53" t="inlineStr">
        <is>
          <t>COMAL</t>
        </is>
      </c>
      <c r="G2655" s="59" t="n"/>
      <c r="X2655" s="61" t="n"/>
      <c r="Y2655" s="61" t="n"/>
    </row>
    <row r="2656" ht="14.25" customHeight="1" s="86">
      <c r="E2656" s="53" t="inlineStr">
        <is>
          <t>TX</t>
        </is>
      </c>
      <c r="F2656" s="53" t="inlineStr">
        <is>
          <t>COMANCHE</t>
        </is>
      </c>
      <c r="G2656" s="59" t="n"/>
      <c r="X2656" s="61" t="n"/>
      <c r="Y2656" s="61" t="n"/>
    </row>
    <row r="2657" ht="14.25" customHeight="1" s="86">
      <c r="E2657" s="53" t="inlineStr">
        <is>
          <t>TX</t>
        </is>
      </c>
      <c r="F2657" s="53" t="inlineStr">
        <is>
          <t>CONCHO</t>
        </is>
      </c>
      <c r="G2657" s="59" t="n"/>
      <c r="X2657" s="61" t="n"/>
      <c r="Y2657" s="61" t="n"/>
    </row>
    <row r="2658" ht="14.25" customHeight="1" s="86">
      <c r="E2658" s="53" t="inlineStr">
        <is>
          <t>TX</t>
        </is>
      </c>
      <c r="F2658" s="53" t="inlineStr">
        <is>
          <t>COOKE</t>
        </is>
      </c>
      <c r="G2658" s="59" t="n"/>
      <c r="X2658" s="61" t="n"/>
      <c r="Y2658" s="61" t="n"/>
    </row>
    <row r="2659" ht="14.25" customHeight="1" s="86">
      <c r="E2659" s="53" t="inlineStr">
        <is>
          <t>TX</t>
        </is>
      </c>
      <c r="F2659" s="53" t="inlineStr">
        <is>
          <t>CORYELL</t>
        </is>
      </c>
      <c r="G2659" s="59" t="n"/>
      <c r="X2659" s="61" t="n"/>
      <c r="Y2659" s="61" t="n"/>
    </row>
    <row r="2660" ht="14.25" customHeight="1" s="86">
      <c r="E2660" s="53" t="inlineStr">
        <is>
          <t>TX</t>
        </is>
      </c>
      <c r="F2660" s="53" t="inlineStr">
        <is>
          <t>COTTLE</t>
        </is>
      </c>
      <c r="G2660" s="59" t="n"/>
      <c r="X2660" s="61" t="n"/>
      <c r="Y2660" s="61" t="n"/>
    </row>
    <row r="2661" ht="14.25" customHeight="1" s="86">
      <c r="E2661" s="53" t="inlineStr">
        <is>
          <t>TX</t>
        </is>
      </c>
      <c r="F2661" s="53" t="inlineStr">
        <is>
          <t>CRANE</t>
        </is>
      </c>
      <c r="G2661" s="59" t="n"/>
      <c r="X2661" s="61" t="n"/>
      <c r="Y2661" s="61" t="n"/>
    </row>
    <row r="2662" ht="14.25" customHeight="1" s="86">
      <c r="E2662" s="53" t="inlineStr">
        <is>
          <t>TX</t>
        </is>
      </c>
      <c r="F2662" s="53" t="inlineStr">
        <is>
          <t>CROCKETT</t>
        </is>
      </c>
      <c r="G2662" s="59" t="n"/>
      <c r="X2662" s="61" t="n"/>
      <c r="Y2662" s="61" t="n"/>
    </row>
    <row r="2663" ht="14.25" customHeight="1" s="86">
      <c r="E2663" s="53" t="inlineStr">
        <is>
          <t>TX</t>
        </is>
      </c>
      <c r="F2663" s="53" t="inlineStr">
        <is>
          <t>CROSBY</t>
        </is>
      </c>
      <c r="G2663" s="59" t="n"/>
      <c r="X2663" s="61" t="n"/>
      <c r="Y2663" s="61" t="n"/>
    </row>
    <row r="2664" ht="14.25" customHeight="1" s="86">
      <c r="E2664" s="53" t="inlineStr">
        <is>
          <t>TX</t>
        </is>
      </c>
      <c r="F2664" s="53" t="inlineStr">
        <is>
          <t>CULBERSON</t>
        </is>
      </c>
      <c r="G2664" s="59" t="n"/>
      <c r="X2664" s="61" t="n"/>
      <c r="Y2664" s="61" t="n"/>
    </row>
    <row r="2665" ht="14.25" customHeight="1" s="86">
      <c r="E2665" s="53" t="inlineStr">
        <is>
          <t>TX</t>
        </is>
      </c>
      <c r="F2665" s="53" t="inlineStr">
        <is>
          <t>DALLAM</t>
        </is>
      </c>
      <c r="G2665" s="59" t="n"/>
      <c r="X2665" s="61" t="n"/>
      <c r="Y2665" s="61" t="n"/>
    </row>
    <row r="2666" ht="14.25" customHeight="1" s="86">
      <c r="E2666" s="53" t="inlineStr">
        <is>
          <t>TX</t>
        </is>
      </c>
      <c r="F2666" s="53" t="inlineStr">
        <is>
          <t>DALLAS</t>
        </is>
      </c>
      <c r="G2666" s="59" t="n"/>
      <c r="X2666" s="61" t="n"/>
      <c r="Y2666" s="61" t="n"/>
    </row>
    <row r="2667" ht="14.25" customHeight="1" s="86">
      <c r="E2667" s="53" t="inlineStr">
        <is>
          <t>TX</t>
        </is>
      </c>
      <c r="F2667" s="53" t="inlineStr">
        <is>
          <t>DAWSON</t>
        </is>
      </c>
      <c r="G2667" s="59" t="n"/>
      <c r="X2667" s="61" t="n"/>
      <c r="Y2667" s="61" t="n"/>
    </row>
    <row r="2668" ht="14.25" customHeight="1" s="86">
      <c r="E2668" s="53" t="inlineStr">
        <is>
          <t>TX</t>
        </is>
      </c>
      <c r="F2668" s="53" t="inlineStr">
        <is>
          <t>DE WITT</t>
        </is>
      </c>
      <c r="G2668" s="59" t="n"/>
      <c r="X2668" s="61" t="n"/>
      <c r="Y2668" s="61" t="n"/>
    </row>
    <row r="2669" ht="14.25" customHeight="1" s="86">
      <c r="E2669" s="53" t="inlineStr">
        <is>
          <t>TX</t>
        </is>
      </c>
      <c r="F2669" s="53" t="inlineStr">
        <is>
          <t>DEAF SMITH</t>
        </is>
      </c>
      <c r="G2669" s="59" t="n"/>
      <c r="X2669" s="61" t="n"/>
      <c r="Y2669" s="61" t="n"/>
    </row>
    <row r="2670" ht="14.25" customHeight="1" s="86">
      <c r="E2670" s="53" t="inlineStr">
        <is>
          <t>TX</t>
        </is>
      </c>
      <c r="F2670" s="53" t="inlineStr">
        <is>
          <t>DELTA</t>
        </is>
      </c>
      <c r="G2670" s="59" t="n"/>
      <c r="X2670" s="61" t="n"/>
      <c r="Y2670" s="61" t="n"/>
    </row>
    <row r="2671" ht="14.25" customHeight="1" s="86">
      <c r="E2671" s="53" t="inlineStr">
        <is>
          <t>TX</t>
        </is>
      </c>
      <c r="F2671" s="53" t="inlineStr">
        <is>
          <t>DENTON</t>
        </is>
      </c>
      <c r="G2671" s="59" t="n"/>
      <c r="X2671" s="61" t="n"/>
      <c r="Y2671" s="61" t="n"/>
    </row>
    <row r="2672" ht="14.25" customHeight="1" s="86">
      <c r="E2672" s="53" t="inlineStr">
        <is>
          <t>TX</t>
        </is>
      </c>
      <c r="F2672" s="53" t="inlineStr">
        <is>
          <t>DICKENS</t>
        </is>
      </c>
      <c r="G2672" s="59" t="n"/>
      <c r="X2672" s="61" t="n"/>
      <c r="Y2672" s="61" t="n"/>
    </row>
    <row r="2673" ht="14.25" customHeight="1" s="86">
      <c r="E2673" s="53" t="inlineStr">
        <is>
          <t>TX</t>
        </is>
      </c>
      <c r="F2673" s="53" t="inlineStr">
        <is>
          <t>DIMMIT</t>
        </is>
      </c>
      <c r="G2673" s="59" t="n"/>
      <c r="X2673" s="61" t="n"/>
      <c r="Y2673" s="61" t="n"/>
    </row>
    <row r="2674" ht="14.25" customHeight="1" s="86">
      <c r="E2674" s="53" t="inlineStr">
        <is>
          <t>TX</t>
        </is>
      </c>
      <c r="F2674" s="53" t="inlineStr">
        <is>
          <t>DONLEY</t>
        </is>
      </c>
      <c r="G2674" s="59" t="n"/>
      <c r="X2674" s="61" t="n"/>
      <c r="Y2674" s="61" t="n"/>
    </row>
    <row r="2675" ht="14.25" customHeight="1" s="86">
      <c r="E2675" s="53" t="inlineStr">
        <is>
          <t>TX</t>
        </is>
      </c>
      <c r="F2675" s="53" t="inlineStr">
        <is>
          <t>DUVAL</t>
        </is>
      </c>
      <c r="G2675" s="59" t="n"/>
      <c r="X2675" s="61" t="n"/>
      <c r="Y2675" s="61" t="n"/>
    </row>
    <row r="2676" ht="14.25" customHeight="1" s="86">
      <c r="E2676" s="53" t="inlineStr">
        <is>
          <t>TX</t>
        </is>
      </c>
      <c r="F2676" s="53" t="inlineStr">
        <is>
          <t>EASTLAND</t>
        </is>
      </c>
      <c r="G2676" s="59" t="n"/>
      <c r="X2676" s="61" t="n"/>
      <c r="Y2676" s="61" t="n"/>
    </row>
    <row r="2677" ht="14.25" customHeight="1" s="86">
      <c r="E2677" s="53" t="inlineStr">
        <is>
          <t>TX</t>
        </is>
      </c>
      <c r="F2677" s="53" t="inlineStr">
        <is>
          <t>ECTOR</t>
        </is>
      </c>
      <c r="G2677" s="59" t="n"/>
      <c r="X2677" s="61" t="n"/>
      <c r="Y2677" s="61" t="n"/>
    </row>
    <row r="2678" ht="14.25" customHeight="1" s="86">
      <c r="E2678" s="53" t="inlineStr">
        <is>
          <t>TX</t>
        </is>
      </c>
      <c r="F2678" s="53" t="inlineStr">
        <is>
          <t>EDWARDS</t>
        </is>
      </c>
      <c r="G2678" s="59" t="n"/>
      <c r="X2678" s="61" t="n"/>
      <c r="Y2678" s="61" t="n"/>
    </row>
    <row r="2679" ht="14.25" customHeight="1" s="86">
      <c r="E2679" s="53" t="inlineStr">
        <is>
          <t>TX</t>
        </is>
      </c>
      <c r="F2679" s="53" t="inlineStr">
        <is>
          <t>EL PASO</t>
        </is>
      </c>
      <c r="G2679" s="59" t="n"/>
      <c r="X2679" s="61" t="n"/>
      <c r="Y2679" s="61" t="n"/>
    </row>
    <row r="2680" ht="14.25" customHeight="1" s="86">
      <c r="E2680" s="53" t="inlineStr">
        <is>
          <t>TX</t>
        </is>
      </c>
      <c r="F2680" s="53" t="inlineStr">
        <is>
          <t>ELLIS</t>
        </is>
      </c>
      <c r="G2680" s="59" t="n"/>
      <c r="X2680" s="61" t="n"/>
      <c r="Y2680" s="61" t="n"/>
    </row>
    <row r="2681" ht="14.25" customHeight="1" s="86">
      <c r="E2681" s="53" t="inlineStr">
        <is>
          <t>TX</t>
        </is>
      </c>
      <c r="F2681" s="53" t="inlineStr">
        <is>
          <t>ERATH</t>
        </is>
      </c>
      <c r="G2681" s="59" t="n"/>
      <c r="X2681" s="61" t="n"/>
      <c r="Y2681" s="61" t="n"/>
    </row>
    <row r="2682" ht="14.25" customHeight="1" s="86">
      <c r="E2682" s="53" t="inlineStr">
        <is>
          <t>TX</t>
        </is>
      </c>
      <c r="F2682" s="53" t="inlineStr">
        <is>
          <t>FALLS</t>
        </is>
      </c>
      <c r="G2682" s="59" t="n"/>
      <c r="X2682" s="61" t="n"/>
      <c r="Y2682" s="61" t="n"/>
    </row>
    <row r="2683" ht="14.25" customHeight="1" s="86">
      <c r="E2683" s="53" t="inlineStr">
        <is>
          <t>TX</t>
        </is>
      </c>
      <c r="F2683" s="53" t="inlineStr">
        <is>
          <t>FANNIN</t>
        </is>
      </c>
      <c r="G2683" s="59" t="n"/>
      <c r="X2683" s="61" t="n"/>
      <c r="Y2683" s="61" t="n"/>
    </row>
    <row r="2684" ht="14.25" customHeight="1" s="86">
      <c r="E2684" s="53" t="inlineStr">
        <is>
          <t>TX</t>
        </is>
      </c>
      <c r="F2684" s="53" t="inlineStr">
        <is>
          <t>FAYETTE</t>
        </is>
      </c>
      <c r="G2684" s="59" t="n"/>
      <c r="X2684" s="61" t="n"/>
      <c r="Y2684" s="61" t="n"/>
    </row>
    <row r="2685" ht="14.25" customHeight="1" s="86">
      <c r="E2685" s="53" t="inlineStr">
        <is>
          <t>TX</t>
        </is>
      </c>
      <c r="F2685" s="53" t="inlineStr">
        <is>
          <t>FISHER</t>
        </is>
      </c>
      <c r="G2685" s="59" t="n"/>
      <c r="X2685" s="61" t="n"/>
      <c r="Y2685" s="61" t="n"/>
    </row>
    <row r="2686" ht="14.25" customHeight="1" s="86">
      <c r="E2686" s="53" t="inlineStr">
        <is>
          <t>TX</t>
        </is>
      </c>
      <c r="F2686" s="53" t="inlineStr">
        <is>
          <t>FLOYD</t>
        </is>
      </c>
      <c r="G2686" s="59" t="n"/>
      <c r="X2686" s="61" t="n"/>
      <c r="Y2686" s="61" t="n"/>
    </row>
    <row r="2687" ht="14.25" customHeight="1" s="86">
      <c r="E2687" s="53" t="inlineStr">
        <is>
          <t>TX</t>
        </is>
      </c>
      <c r="F2687" s="53" t="inlineStr">
        <is>
          <t>FOARD</t>
        </is>
      </c>
      <c r="G2687" s="59" t="n"/>
      <c r="X2687" s="61" t="n"/>
      <c r="Y2687" s="61" t="n"/>
    </row>
    <row r="2688" ht="14.25" customHeight="1" s="86">
      <c r="E2688" s="53" t="inlineStr">
        <is>
          <t>TX</t>
        </is>
      </c>
      <c r="F2688" s="53" t="inlineStr">
        <is>
          <t>FORT BEND</t>
        </is>
      </c>
      <c r="G2688" s="59" t="n"/>
      <c r="X2688" s="61" t="n"/>
      <c r="Y2688" s="61" t="n"/>
    </row>
    <row r="2689" ht="14.25" customHeight="1" s="86">
      <c r="E2689" s="53" t="inlineStr">
        <is>
          <t>TX</t>
        </is>
      </c>
      <c r="F2689" s="53" t="inlineStr">
        <is>
          <t>FRANKLIN</t>
        </is>
      </c>
      <c r="G2689" s="59" t="n"/>
      <c r="X2689" s="61" t="n"/>
      <c r="Y2689" s="61" t="n"/>
    </row>
    <row r="2690" ht="14.25" customHeight="1" s="86">
      <c r="E2690" s="53" t="inlineStr">
        <is>
          <t>TX</t>
        </is>
      </c>
      <c r="F2690" s="53" t="inlineStr">
        <is>
          <t>FREESTONE</t>
        </is>
      </c>
      <c r="G2690" s="59" t="n"/>
      <c r="X2690" s="61" t="n"/>
      <c r="Y2690" s="61" t="n"/>
    </row>
    <row r="2691" ht="14.25" customHeight="1" s="86">
      <c r="E2691" s="53" t="inlineStr">
        <is>
          <t>TX</t>
        </is>
      </c>
      <c r="F2691" s="53" t="inlineStr">
        <is>
          <t>FRIO</t>
        </is>
      </c>
      <c r="G2691" s="59" t="n"/>
      <c r="X2691" s="61" t="n"/>
      <c r="Y2691" s="61" t="n"/>
    </row>
    <row r="2692" ht="14.25" customHeight="1" s="86">
      <c r="E2692" s="53" t="inlineStr">
        <is>
          <t>TX</t>
        </is>
      </c>
      <c r="F2692" s="53" t="inlineStr">
        <is>
          <t>GAINES</t>
        </is>
      </c>
      <c r="G2692" s="59" t="n"/>
      <c r="X2692" s="61" t="n"/>
      <c r="Y2692" s="61" t="n"/>
    </row>
    <row r="2693" ht="14.25" customHeight="1" s="86">
      <c r="E2693" s="53" t="inlineStr">
        <is>
          <t>TX</t>
        </is>
      </c>
      <c r="F2693" s="53" t="inlineStr">
        <is>
          <t>GALVESTON</t>
        </is>
      </c>
      <c r="G2693" s="59" t="n"/>
      <c r="X2693" s="61" t="n"/>
      <c r="Y2693" s="61" t="n"/>
    </row>
    <row r="2694" ht="14.25" customHeight="1" s="86">
      <c r="E2694" s="53" t="inlineStr">
        <is>
          <t>TX</t>
        </is>
      </c>
      <c r="F2694" s="53" t="inlineStr">
        <is>
          <t>GARZA</t>
        </is>
      </c>
      <c r="G2694" s="59" t="n"/>
      <c r="X2694" s="61" t="n"/>
      <c r="Y2694" s="61" t="n"/>
    </row>
    <row r="2695" ht="14.25" customHeight="1" s="86">
      <c r="E2695" s="53" t="inlineStr">
        <is>
          <t>TX</t>
        </is>
      </c>
      <c r="F2695" s="53" t="inlineStr">
        <is>
          <t>GILLESPIE</t>
        </is>
      </c>
      <c r="G2695" s="59" t="n"/>
      <c r="X2695" s="61" t="n"/>
      <c r="Y2695" s="61" t="n"/>
    </row>
    <row r="2696" ht="14.25" customHeight="1" s="86">
      <c r="E2696" s="53" t="inlineStr">
        <is>
          <t>TX</t>
        </is>
      </c>
      <c r="F2696" s="53" t="inlineStr">
        <is>
          <t>GLASSCOCK</t>
        </is>
      </c>
      <c r="G2696" s="59" t="n"/>
      <c r="X2696" s="61" t="n"/>
      <c r="Y2696" s="61" t="n"/>
    </row>
    <row r="2697" ht="14.25" customHeight="1" s="86">
      <c r="E2697" s="53" t="inlineStr">
        <is>
          <t>TX</t>
        </is>
      </c>
      <c r="F2697" s="53" t="inlineStr">
        <is>
          <t>GOLIAD</t>
        </is>
      </c>
      <c r="G2697" s="59" t="n"/>
      <c r="X2697" s="61" t="n"/>
      <c r="Y2697" s="61" t="n"/>
    </row>
    <row r="2698" ht="14.25" customHeight="1" s="86">
      <c r="E2698" s="53" t="inlineStr">
        <is>
          <t>TX</t>
        </is>
      </c>
      <c r="F2698" s="53" t="inlineStr">
        <is>
          <t>GONZALES</t>
        </is>
      </c>
      <c r="G2698" s="59" t="n"/>
      <c r="X2698" s="61" t="n"/>
      <c r="Y2698" s="61" t="n"/>
    </row>
    <row r="2699" ht="14.25" customHeight="1" s="86">
      <c r="E2699" s="53" t="inlineStr">
        <is>
          <t>TX</t>
        </is>
      </c>
      <c r="F2699" s="53" t="inlineStr">
        <is>
          <t>GRAY</t>
        </is>
      </c>
      <c r="G2699" s="59" t="n"/>
      <c r="X2699" s="61" t="n"/>
      <c r="Y2699" s="61" t="n"/>
    </row>
    <row r="2700" ht="14.25" customHeight="1" s="86">
      <c r="E2700" s="53" t="inlineStr">
        <is>
          <t>TX</t>
        </is>
      </c>
      <c r="F2700" s="53" t="inlineStr">
        <is>
          <t>GRAYSON</t>
        </is>
      </c>
      <c r="G2700" s="59" t="n"/>
      <c r="X2700" s="61" t="n"/>
      <c r="Y2700" s="61" t="n"/>
    </row>
    <row r="2701" ht="14.25" customHeight="1" s="86">
      <c r="E2701" s="53" t="inlineStr">
        <is>
          <t>TX</t>
        </is>
      </c>
      <c r="F2701" s="53" t="inlineStr">
        <is>
          <t>GREGG</t>
        </is>
      </c>
      <c r="G2701" s="59" t="n"/>
      <c r="X2701" s="61" t="n"/>
      <c r="Y2701" s="61" t="n"/>
    </row>
    <row r="2702" ht="14.25" customHeight="1" s="86">
      <c r="E2702" s="53" t="inlineStr">
        <is>
          <t>TX</t>
        </is>
      </c>
      <c r="F2702" s="53" t="inlineStr">
        <is>
          <t>GRIMES</t>
        </is>
      </c>
      <c r="G2702" s="59" t="n"/>
      <c r="X2702" s="61" t="n"/>
      <c r="Y2702" s="61" t="n"/>
    </row>
    <row r="2703" ht="14.25" customHeight="1" s="86">
      <c r="E2703" s="53" t="inlineStr">
        <is>
          <t>TX</t>
        </is>
      </c>
      <c r="F2703" s="53" t="inlineStr">
        <is>
          <t>GUADALUPE</t>
        </is>
      </c>
      <c r="G2703" s="59" t="n"/>
      <c r="X2703" s="61" t="n"/>
      <c r="Y2703" s="61" t="n"/>
    </row>
    <row r="2704" ht="14.25" customHeight="1" s="86">
      <c r="E2704" s="53" t="inlineStr">
        <is>
          <t>TX</t>
        </is>
      </c>
      <c r="F2704" s="53" t="inlineStr">
        <is>
          <t>HALE</t>
        </is>
      </c>
      <c r="G2704" s="59" t="n"/>
      <c r="X2704" s="61" t="n"/>
      <c r="Y2704" s="61" t="n"/>
    </row>
    <row r="2705" ht="14.25" customHeight="1" s="86">
      <c r="E2705" s="53" t="inlineStr">
        <is>
          <t>TX</t>
        </is>
      </c>
      <c r="F2705" s="53" t="inlineStr">
        <is>
          <t>HALL</t>
        </is>
      </c>
      <c r="G2705" s="59" t="n"/>
      <c r="X2705" s="61" t="n"/>
      <c r="Y2705" s="61" t="n"/>
    </row>
    <row r="2706" ht="14.25" customHeight="1" s="86">
      <c r="E2706" s="53" t="inlineStr">
        <is>
          <t>TX</t>
        </is>
      </c>
      <c r="F2706" s="53" t="inlineStr">
        <is>
          <t>HAMILTON</t>
        </is>
      </c>
      <c r="G2706" s="59" t="n"/>
      <c r="X2706" s="61" t="n"/>
      <c r="Y2706" s="61" t="n"/>
    </row>
    <row r="2707" ht="14.25" customHeight="1" s="86">
      <c r="E2707" s="53" t="inlineStr">
        <is>
          <t>TX</t>
        </is>
      </c>
      <c r="F2707" s="53" t="inlineStr">
        <is>
          <t>HANSFORD</t>
        </is>
      </c>
      <c r="G2707" s="59" t="n"/>
      <c r="X2707" s="61" t="n"/>
      <c r="Y2707" s="61" t="n"/>
    </row>
    <row r="2708" ht="14.25" customHeight="1" s="86">
      <c r="E2708" s="53" t="inlineStr">
        <is>
          <t>TX</t>
        </is>
      </c>
      <c r="F2708" s="53" t="inlineStr">
        <is>
          <t>HARDEMAN</t>
        </is>
      </c>
      <c r="G2708" s="59" t="n"/>
      <c r="X2708" s="61" t="n"/>
      <c r="Y2708" s="61" t="n"/>
    </row>
    <row r="2709" ht="14.25" customHeight="1" s="86">
      <c r="E2709" s="53" t="inlineStr">
        <is>
          <t>TX</t>
        </is>
      </c>
      <c r="F2709" s="53" t="inlineStr">
        <is>
          <t>HARDIN</t>
        </is>
      </c>
      <c r="G2709" s="59" t="n"/>
      <c r="X2709" s="61" t="n"/>
      <c r="Y2709" s="61" t="n"/>
    </row>
    <row r="2710" ht="14.25" customHeight="1" s="86">
      <c r="E2710" s="53" t="inlineStr">
        <is>
          <t>TX</t>
        </is>
      </c>
      <c r="F2710" s="53" t="inlineStr">
        <is>
          <t>HARRIS</t>
        </is>
      </c>
      <c r="G2710" s="59" t="n"/>
      <c r="X2710" s="61" t="n"/>
      <c r="Y2710" s="61" t="n"/>
    </row>
    <row r="2711" ht="14.25" customHeight="1" s="86">
      <c r="E2711" s="53" t="inlineStr">
        <is>
          <t>TX</t>
        </is>
      </c>
      <c r="F2711" s="53" t="inlineStr">
        <is>
          <t>HARRISON</t>
        </is>
      </c>
      <c r="G2711" s="59" t="n"/>
      <c r="X2711" s="61" t="n"/>
      <c r="Y2711" s="61" t="n"/>
    </row>
    <row r="2712" ht="14.25" customHeight="1" s="86">
      <c r="E2712" s="53" t="inlineStr">
        <is>
          <t>TX</t>
        </is>
      </c>
      <c r="F2712" s="53" t="inlineStr">
        <is>
          <t>HARTLEY</t>
        </is>
      </c>
      <c r="G2712" s="59" t="n"/>
      <c r="X2712" s="61" t="n"/>
      <c r="Y2712" s="61" t="n"/>
    </row>
    <row r="2713" ht="14.25" customHeight="1" s="86">
      <c r="E2713" s="53" t="inlineStr">
        <is>
          <t>TX</t>
        </is>
      </c>
      <c r="F2713" s="53" t="inlineStr">
        <is>
          <t>HASKELL</t>
        </is>
      </c>
      <c r="G2713" s="59" t="n"/>
      <c r="X2713" s="61" t="n"/>
      <c r="Y2713" s="61" t="n"/>
    </row>
    <row r="2714" ht="14.25" customHeight="1" s="86">
      <c r="E2714" s="53" t="inlineStr">
        <is>
          <t>TX</t>
        </is>
      </c>
      <c r="F2714" s="53" t="inlineStr">
        <is>
          <t>HAYS</t>
        </is>
      </c>
      <c r="G2714" s="59" t="n"/>
      <c r="X2714" s="61" t="n"/>
      <c r="Y2714" s="61" t="n"/>
    </row>
    <row r="2715" ht="14.25" customHeight="1" s="86">
      <c r="E2715" s="53" t="inlineStr">
        <is>
          <t>TX</t>
        </is>
      </c>
      <c r="F2715" s="53" t="inlineStr">
        <is>
          <t>HEMPHILL</t>
        </is>
      </c>
      <c r="G2715" s="59" t="n"/>
      <c r="X2715" s="61" t="n"/>
      <c r="Y2715" s="61" t="n"/>
    </row>
    <row r="2716" ht="14.25" customHeight="1" s="86">
      <c r="E2716" s="53" t="inlineStr">
        <is>
          <t>TX</t>
        </is>
      </c>
      <c r="F2716" s="53" t="inlineStr">
        <is>
          <t>HENDERSON</t>
        </is>
      </c>
      <c r="G2716" s="59" t="n"/>
      <c r="X2716" s="61" t="n"/>
      <c r="Y2716" s="61" t="n"/>
    </row>
    <row r="2717" ht="14.25" customHeight="1" s="86">
      <c r="E2717" s="53" t="inlineStr">
        <is>
          <t>TX</t>
        </is>
      </c>
      <c r="F2717" s="53" t="inlineStr">
        <is>
          <t>HIDALGO</t>
        </is>
      </c>
      <c r="G2717" s="59" t="n"/>
      <c r="X2717" s="61" t="n"/>
      <c r="Y2717" s="61" t="n"/>
    </row>
    <row r="2718" ht="14.25" customHeight="1" s="86">
      <c r="E2718" s="53" t="inlineStr">
        <is>
          <t>TX</t>
        </is>
      </c>
      <c r="F2718" s="53" t="inlineStr">
        <is>
          <t>HILL</t>
        </is>
      </c>
      <c r="G2718" s="59" t="n"/>
      <c r="X2718" s="61" t="n"/>
      <c r="Y2718" s="61" t="n"/>
    </row>
    <row r="2719" ht="14.25" customHeight="1" s="86">
      <c r="E2719" s="53" t="inlineStr">
        <is>
          <t>TX</t>
        </is>
      </c>
      <c r="F2719" s="53" t="inlineStr">
        <is>
          <t>HOCKLEY</t>
        </is>
      </c>
      <c r="G2719" s="59" t="n"/>
      <c r="X2719" s="61" t="n"/>
      <c r="Y2719" s="61" t="n"/>
    </row>
    <row r="2720" ht="14.25" customHeight="1" s="86">
      <c r="E2720" s="53" t="inlineStr">
        <is>
          <t>TX</t>
        </is>
      </c>
      <c r="F2720" s="53" t="inlineStr">
        <is>
          <t>HOOD</t>
        </is>
      </c>
      <c r="G2720" s="59" t="n"/>
      <c r="X2720" s="61" t="n"/>
      <c r="Y2720" s="61" t="n"/>
    </row>
    <row r="2721" ht="14.25" customHeight="1" s="86">
      <c r="E2721" s="53" t="inlineStr">
        <is>
          <t>TX</t>
        </is>
      </c>
      <c r="F2721" s="53" t="inlineStr">
        <is>
          <t>HOPKINS</t>
        </is>
      </c>
      <c r="G2721" s="59" t="n"/>
      <c r="X2721" s="61" t="n"/>
      <c r="Y2721" s="61" t="n"/>
    </row>
    <row r="2722" ht="14.25" customHeight="1" s="86">
      <c r="E2722" s="53" t="inlineStr">
        <is>
          <t>TX</t>
        </is>
      </c>
      <c r="F2722" s="53" t="inlineStr">
        <is>
          <t>HOUSTON</t>
        </is>
      </c>
      <c r="G2722" s="59" t="n"/>
      <c r="X2722" s="61" t="n"/>
      <c r="Y2722" s="61" t="n"/>
    </row>
    <row r="2723" ht="14.25" customHeight="1" s="86">
      <c r="E2723" s="53" t="inlineStr">
        <is>
          <t>TX</t>
        </is>
      </c>
      <c r="F2723" s="53" t="inlineStr">
        <is>
          <t>HOWARD</t>
        </is>
      </c>
      <c r="G2723" s="59" t="n"/>
      <c r="X2723" s="61" t="n"/>
      <c r="Y2723" s="61" t="n"/>
    </row>
    <row r="2724" ht="14.25" customHeight="1" s="86">
      <c r="E2724" s="53" t="inlineStr">
        <is>
          <t>TX</t>
        </is>
      </c>
      <c r="F2724" s="53" t="inlineStr">
        <is>
          <t>HUDSPETH</t>
        </is>
      </c>
      <c r="G2724" s="59" t="n"/>
      <c r="X2724" s="61" t="n"/>
      <c r="Y2724" s="61" t="n"/>
    </row>
    <row r="2725" ht="14.25" customHeight="1" s="86">
      <c r="E2725" s="53" t="inlineStr">
        <is>
          <t>TX</t>
        </is>
      </c>
      <c r="F2725" s="53" t="inlineStr">
        <is>
          <t>HUNT</t>
        </is>
      </c>
      <c r="G2725" s="59" t="n"/>
      <c r="X2725" s="61" t="n"/>
      <c r="Y2725" s="61" t="n"/>
    </row>
    <row r="2726" ht="14.25" customHeight="1" s="86">
      <c r="E2726" s="53" t="inlineStr">
        <is>
          <t>TX</t>
        </is>
      </c>
      <c r="F2726" s="53" t="inlineStr">
        <is>
          <t>HUTCHINSON</t>
        </is>
      </c>
      <c r="G2726" s="59" t="n"/>
      <c r="X2726" s="61" t="n"/>
      <c r="Y2726" s="61" t="n"/>
    </row>
    <row r="2727" ht="14.25" customHeight="1" s="86">
      <c r="E2727" s="53" t="inlineStr">
        <is>
          <t>TX</t>
        </is>
      </c>
      <c r="F2727" s="53" t="inlineStr">
        <is>
          <t>IRION</t>
        </is>
      </c>
      <c r="G2727" s="59" t="n"/>
      <c r="X2727" s="61" t="n"/>
      <c r="Y2727" s="61" t="n"/>
    </row>
    <row r="2728" ht="14.25" customHeight="1" s="86">
      <c r="E2728" s="53" t="inlineStr">
        <is>
          <t>TX</t>
        </is>
      </c>
      <c r="F2728" s="53" t="inlineStr">
        <is>
          <t>JACK</t>
        </is>
      </c>
      <c r="G2728" s="59" t="n"/>
      <c r="X2728" s="61" t="n"/>
      <c r="Y2728" s="61" t="n"/>
    </row>
    <row r="2729" ht="14.25" customHeight="1" s="86">
      <c r="E2729" s="53" t="inlineStr">
        <is>
          <t>TX</t>
        </is>
      </c>
      <c r="F2729" s="53" t="inlineStr">
        <is>
          <t>JACKSON</t>
        </is>
      </c>
      <c r="G2729" s="59" t="n"/>
      <c r="X2729" s="61" t="n"/>
      <c r="Y2729" s="61" t="n"/>
    </row>
    <row r="2730" ht="14.25" customHeight="1" s="86">
      <c r="E2730" s="53" t="inlineStr">
        <is>
          <t>TX</t>
        </is>
      </c>
      <c r="F2730" s="53" t="inlineStr">
        <is>
          <t>JASPER</t>
        </is>
      </c>
      <c r="G2730" s="59" t="n"/>
      <c r="X2730" s="61" t="n"/>
      <c r="Y2730" s="61" t="n"/>
    </row>
    <row r="2731" ht="14.25" customHeight="1" s="86">
      <c r="E2731" s="53" t="inlineStr">
        <is>
          <t>TX</t>
        </is>
      </c>
      <c r="F2731" s="53" t="inlineStr">
        <is>
          <t>JEFF DAVIS</t>
        </is>
      </c>
      <c r="G2731" s="59" t="n"/>
      <c r="X2731" s="61" t="n"/>
      <c r="Y2731" s="61" t="n"/>
    </row>
    <row r="2732" ht="14.25" customHeight="1" s="86">
      <c r="E2732" s="53" t="inlineStr">
        <is>
          <t>TX</t>
        </is>
      </c>
      <c r="F2732" s="53" t="inlineStr">
        <is>
          <t>JEFFERSON</t>
        </is>
      </c>
      <c r="G2732" s="59" t="n"/>
      <c r="X2732" s="61" t="n"/>
      <c r="Y2732" s="61" t="n"/>
    </row>
    <row r="2733" ht="14.25" customHeight="1" s="86">
      <c r="E2733" s="53" t="inlineStr">
        <is>
          <t>TX</t>
        </is>
      </c>
      <c r="F2733" s="53" t="inlineStr">
        <is>
          <t>JIM HOGG</t>
        </is>
      </c>
      <c r="G2733" s="59" t="n"/>
      <c r="X2733" s="61" t="n"/>
      <c r="Y2733" s="61" t="n"/>
    </row>
    <row r="2734" ht="14.25" customHeight="1" s="86">
      <c r="E2734" s="53" t="inlineStr">
        <is>
          <t>TX</t>
        </is>
      </c>
      <c r="F2734" s="53" t="inlineStr">
        <is>
          <t>JIM WELLS</t>
        </is>
      </c>
      <c r="G2734" s="59" t="n"/>
      <c r="X2734" s="61" t="n"/>
      <c r="Y2734" s="61" t="n"/>
    </row>
    <row r="2735" ht="14.25" customHeight="1" s="86">
      <c r="E2735" s="53" t="inlineStr">
        <is>
          <t>TX</t>
        </is>
      </c>
      <c r="F2735" s="53" t="inlineStr">
        <is>
          <t>JOHNSON</t>
        </is>
      </c>
      <c r="G2735" s="59" t="n"/>
      <c r="X2735" s="61" t="n"/>
      <c r="Y2735" s="61" t="n"/>
    </row>
    <row r="2736" ht="14.25" customHeight="1" s="86">
      <c r="E2736" s="53" t="inlineStr">
        <is>
          <t>TX</t>
        </is>
      </c>
      <c r="F2736" s="53" t="inlineStr">
        <is>
          <t>JONES</t>
        </is>
      </c>
      <c r="G2736" s="59" t="n"/>
      <c r="X2736" s="61" t="n"/>
      <c r="Y2736" s="61" t="n"/>
    </row>
    <row r="2737" ht="14.25" customHeight="1" s="86">
      <c r="E2737" s="53" t="inlineStr">
        <is>
          <t>TX</t>
        </is>
      </c>
      <c r="F2737" s="53" t="inlineStr">
        <is>
          <t>KARNES</t>
        </is>
      </c>
      <c r="G2737" s="59" t="n"/>
      <c r="X2737" s="61" t="n"/>
      <c r="Y2737" s="61" t="n"/>
    </row>
    <row r="2738" ht="14.25" customHeight="1" s="86">
      <c r="E2738" s="53" t="inlineStr">
        <is>
          <t>TX</t>
        </is>
      </c>
      <c r="F2738" s="53" t="inlineStr">
        <is>
          <t>KAUFMAN</t>
        </is>
      </c>
      <c r="G2738" s="59" t="n"/>
      <c r="X2738" s="61" t="n"/>
      <c r="Y2738" s="61" t="n"/>
    </row>
    <row r="2739" ht="14.25" customHeight="1" s="86">
      <c r="E2739" s="53" t="inlineStr">
        <is>
          <t>TX</t>
        </is>
      </c>
      <c r="F2739" s="53" t="inlineStr">
        <is>
          <t>KENDALL</t>
        </is>
      </c>
      <c r="G2739" s="59" t="n"/>
      <c r="X2739" s="61" t="n"/>
      <c r="Y2739" s="61" t="n"/>
    </row>
    <row r="2740" ht="14.25" customHeight="1" s="86">
      <c r="E2740" s="53" t="inlineStr">
        <is>
          <t>TX</t>
        </is>
      </c>
      <c r="F2740" s="53" t="inlineStr">
        <is>
          <t>KENEDY</t>
        </is>
      </c>
      <c r="G2740" s="59" t="n"/>
      <c r="X2740" s="61" t="n"/>
      <c r="Y2740" s="61" t="n"/>
    </row>
    <row r="2741" ht="14.25" customHeight="1" s="86">
      <c r="E2741" s="53" t="inlineStr">
        <is>
          <t>TX</t>
        </is>
      </c>
      <c r="F2741" s="53" t="inlineStr">
        <is>
          <t>KENT</t>
        </is>
      </c>
      <c r="G2741" s="59" t="n"/>
      <c r="X2741" s="61" t="n"/>
      <c r="Y2741" s="61" t="n"/>
    </row>
    <row r="2742" ht="14.25" customHeight="1" s="86">
      <c r="E2742" s="53" t="inlineStr">
        <is>
          <t>TX</t>
        </is>
      </c>
      <c r="F2742" s="53" t="inlineStr">
        <is>
          <t>KERR</t>
        </is>
      </c>
      <c r="G2742" s="59" t="n"/>
      <c r="X2742" s="61" t="n"/>
      <c r="Y2742" s="61" t="n"/>
    </row>
    <row r="2743" ht="14.25" customHeight="1" s="86">
      <c r="E2743" s="53" t="inlineStr">
        <is>
          <t>TX</t>
        </is>
      </c>
      <c r="F2743" s="53" t="inlineStr">
        <is>
          <t>KIMBLE</t>
        </is>
      </c>
      <c r="G2743" s="59" t="n"/>
      <c r="X2743" s="61" t="n"/>
      <c r="Y2743" s="61" t="n"/>
    </row>
    <row r="2744" ht="14.25" customHeight="1" s="86">
      <c r="E2744" s="53" t="inlineStr">
        <is>
          <t>TX</t>
        </is>
      </c>
      <c r="F2744" s="53" t="inlineStr">
        <is>
          <t>KING</t>
        </is>
      </c>
      <c r="G2744" s="59" t="n"/>
      <c r="X2744" s="61" t="n"/>
      <c r="Y2744" s="61" t="n"/>
    </row>
    <row r="2745" ht="14.25" customHeight="1" s="86">
      <c r="E2745" s="53" t="inlineStr">
        <is>
          <t>TX</t>
        </is>
      </c>
      <c r="F2745" s="53" t="inlineStr">
        <is>
          <t>KINNEY</t>
        </is>
      </c>
      <c r="G2745" s="59" t="n"/>
      <c r="X2745" s="61" t="n"/>
      <c r="Y2745" s="61" t="n"/>
    </row>
    <row r="2746" ht="14.25" customHeight="1" s="86">
      <c r="E2746" s="53" t="inlineStr">
        <is>
          <t>TX</t>
        </is>
      </c>
      <c r="F2746" s="53" t="inlineStr">
        <is>
          <t>KLEBERG</t>
        </is>
      </c>
      <c r="G2746" s="59" t="n"/>
      <c r="X2746" s="61" t="n"/>
      <c r="Y2746" s="61" t="n"/>
    </row>
    <row r="2747" ht="14.25" customHeight="1" s="86">
      <c r="E2747" s="53" t="inlineStr">
        <is>
          <t>TX</t>
        </is>
      </c>
      <c r="F2747" s="53" t="inlineStr">
        <is>
          <t>KNOX</t>
        </is>
      </c>
      <c r="G2747" s="59" t="n"/>
      <c r="X2747" s="61" t="n"/>
      <c r="Y2747" s="61" t="n"/>
    </row>
    <row r="2748" ht="14.25" customHeight="1" s="86">
      <c r="E2748" s="53" t="inlineStr">
        <is>
          <t>TX</t>
        </is>
      </c>
      <c r="F2748" s="53" t="inlineStr">
        <is>
          <t>LA SALLE</t>
        </is>
      </c>
      <c r="G2748" s="59" t="n"/>
      <c r="X2748" s="61" t="n"/>
      <c r="Y2748" s="61" t="n"/>
    </row>
    <row r="2749" ht="14.25" customHeight="1" s="86">
      <c r="E2749" s="53" t="inlineStr">
        <is>
          <t>TX</t>
        </is>
      </c>
      <c r="F2749" s="53" t="inlineStr">
        <is>
          <t>LAMAR</t>
        </is>
      </c>
      <c r="G2749" s="59" t="n"/>
      <c r="X2749" s="61" t="n"/>
      <c r="Y2749" s="61" t="n"/>
    </row>
    <row r="2750" ht="14.25" customHeight="1" s="86">
      <c r="E2750" s="53" t="inlineStr">
        <is>
          <t>TX</t>
        </is>
      </c>
      <c r="F2750" s="53" t="inlineStr">
        <is>
          <t>LAMB</t>
        </is>
      </c>
      <c r="G2750" s="59" t="n"/>
      <c r="X2750" s="61" t="n"/>
      <c r="Y2750" s="61" t="n"/>
    </row>
    <row r="2751" ht="14.25" customHeight="1" s="86">
      <c r="E2751" s="53" t="inlineStr">
        <is>
          <t>TX</t>
        </is>
      </c>
      <c r="F2751" s="53" t="inlineStr">
        <is>
          <t>LAMPASAS</t>
        </is>
      </c>
      <c r="G2751" s="59" t="n"/>
      <c r="X2751" s="61" t="n"/>
      <c r="Y2751" s="61" t="n"/>
    </row>
    <row r="2752" ht="14.25" customHeight="1" s="86">
      <c r="E2752" s="53" t="inlineStr">
        <is>
          <t>TX</t>
        </is>
      </c>
      <c r="F2752" s="53" t="inlineStr">
        <is>
          <t>LAVACA</t>
        </is>
      </c>
      <c r="G2752" s="59" t="n"/>
      <c r="X2752" s="61" t="n"/>
      <c r="Y2752" s="61" t="n"/>
    </row>
    <row r="2753" ht="14.25" customHeight="1" s="86">
      <c r="E2753" s="53" t="inlineStr">
        <is>
          <t>TX</t>
        </is>
      </c>
      <c r="F2753" s="53" t="inlineStr">
        <is>
          <t>LEE</t>
        </is>
      </c>
      <c r="G2753" s="59" t="n"/>
      <c r="X2753" s="61" t="n"/>
      <c r="Y2753" s="61" t="n"/>
    </row>
    <row r="2754" ht="14.25" customHeight="1" s="86">
      <c r="E2754" s="53" t="inlineStr">
        <is>
          <t>TX</t>
        </is>
      </c>
      <c r="F2754" s="53" t="inlineStr">
        <is>
          <t>LEON</t>
        </is>
      </c>
      <c r="G2754" s="59" t="n"/>
      <c r="X2754" s="61" t="n"/>
      <c r="Y2754" s="61" t="n"/>
    </row>
    <row r="2755" ht="14.25" customHeight="1" s="86">
      <c r="E2755" s="53" t="inlineStr">
        <is>
          <t>TX</t>
        </is>
      </c>
      <c r="F2755" s="53" t="inlineStr">
        <is>
          <t>LIBERTY</t>
        </is>
      </c>
      <c r="G2755" s="59" t="n"/>
      <c r="X2755" s="61" t="n"/>
      <c r="Y2755" s="61" t="n"/>
    </row>
    <row r="2756" ht="14.25" customHeight="1" s="86">
      <c r="E2756" s="53" t="inlineStr">
        <is>
          <t>TX</t>
        </is>
      </c>
      <c r="F2756" s="53" t="inlineStr">
        <is>
          <t>LIMESTONE</t>
        </is>
      </c>
      <c r="G2756" s="59" t="n"/>
      <c r="X2756" s="61" t="n"/>
      <c r="Y2756" s="61" t="n"/>
    </row>
    <row r="2757" ht="14.25" customHeight="1" s="86">
      <c r="E2757" s="53" t="inlineStr">
        <is>
          <t>TX</t>
        </is>
      </c>
      <c r="F2757" s="53" t="inlineStr">
        <is>
          <t>LIPSCOMB</t>
        </is>
      </c>
      <c r="G2757" s="59" t="n"/>
      <c r="X2757" s="61" t="n"/>
      <c r="Y2757" s="61" t="n"/>
    </row>
    <row r="2758" ht="14.25" customHeight="1" s="86">
      <c r="E2758" s="53" t="inlineStr">
        <is>
          <t>TX</t>
        </is>
      </c>
      <c r="F2758" s="53" t="inlineStr">
        <is>
          <t>LIVE OAK</t>
        </is>
      </c>
      <c r="G2758" s="59" t="n"/>
      <c r="X2758" s="61" t="n"/>
      <c r="Y2758" s="61" t="n"/>
    </row>
    <row r="2759" ht="14.25" customHeight="1" s="86">
      <c r="E2759" s="53" t="inlineStr">
        <is>
          <t>TX</t>
        </is>
      </c>
      <c r="F2759" s="53" t="inlineStr">
        <is>
          <t>LLANO</t>
        </is>
      </c>
      <c r="G2759" s="59" t="n"/>
      <c r="X2759" s="61" t="n"/>
      <c r="Y2759" s="61" t="n"/>
    </row>
    <row r="2760" ht="14.25" customHeight="1" s="86">
      <c r="E2760" s="53" t="inlineStr">
        <is>
          <t>TX</t>
        </is>
      </c>
      <c r="F2760" s="53" t="inlineStr">
        <is>
          <t>LOVING</t>
        </is>
      </c>
      <c r="G2760" s="59" t="n"/>
      <c r="X2760" s="61" t="n"/>
      <c r="Y2760" s="61" t="n"/>
    </row>
    <row r="2761" ht="14.25" customHeight="1" s="86">
      <c r="E2761" s="53" t="inlineStr">
        <is>
          <t>TX</t>
        </is>
      </c>
      <c r="F2761" s="53" t="inlineStr">
        <is>
          <t>LUBBOCK</t>
        </is>
      </c>
      <c r="G2761" s="59" t="n"/>
      <c r="X2761" s="61" t="n"/>
      <c r="Y2761" s="61" t="n"/>
    </row>
    <row r="2762" ht="14.25" customHeight="1" s="86">
      <c r="E2762" s="53" t="inlineStr">
        <is>
          <t>TX</t>
        </is>
      </c>
      <c r="F2762" s="53" t="inlineStr">
        <is>
          <t>LYNN</t>
        </is>
      </c>
      <c r="G2762" s="59" t="n"/>
      <c r="X2762" s="61" t="n"/>
      <c r="Y2762" s="61" t="n"/>
    </row>
    <row r="2763" ht="14.25" customHeight="1" s="86">
      <c r="E2763" s="53" t="inlineStr">
        <is>
          <t>TX</t>
        </is>
      </c>
      <c r="F2763" s="53" t="inlineStr">
        <is>
          <t>MADISON</t>
        </is>
      </c>
      <c r="G2763" s="59" t="n"/>
      <c r="X2763" s="61" t="n"/>
      <c r="Y2763" s="61" t="n"/>
    </row>
    <row r="2764" ht="14.25" customHeight="1" s="86">
      <c r="E2764" s="53" t="inlineStr">
        <is>
          <t>TX</t>
        </is>
      </c>
      <c r="F2764" s="53" t="inlineStr">
        <is>
          <t>MARION</t>
        </is>
      </c>
      <c r="G2764" s="59" t="n"/>
      <c r="X2764" s="61" t="n"/>
      <c r="Y2764" s="61" t="n"/>
    </row>
    <row r="2765" ht="14.25" customHeight="1" s="86">
      <c r="E2765" s="53" t="inlineStr">
        <is>
          <t>TX</t>
        </is>
      </c>
      <c r="F2765" s="53" t="inlineStr">
        <is>
          <t>MARTIN</t>
        </is>
      </c>
      <c r="G2765" s="59" t="n"/>
      <c r="X2765" s="61" t="n"/>
      <c r="Y2765" s="61" t="n"/>
    </row>
    <row r="2766" ht="14.25" customHeight="1" s="86">
      <c r="E2766" s="53" t="inlineStr">
        <is>
          <t>TX</t>
        </is>
      </c>
      <c r="F2766" s="53" t="inlineStr">
        <is>
          <t>MASON</t>
        </is>
      </c>
      <c r="G2766" s="59" t="n"/>
      <c r="X2766" s="61" t="n"/>
      <c r="Y2766" s="61" t="n"/>
    </row>
    <row r="2767" ht="14.25" customHeight="1" s="86">
      <c r="E2767" s="53" t="inlineStr">
        <is>
          <t>TX</t>
        </is>
      </c>
      <c r="F2767" s="53" t="inlineStr">
        <is>
          <t>MATAGORDA</t>
        </is>
      </c>
      <c r="G2767" s="59" t="n"/>
      <c r="X2767" s="61" t="n"/>
      <c r="Y2767" s="61" t="n"/>
    </row>
    <row r="2768" ht="14.25" customHeight="1" s="86">
      <c r="E2768" s="53" t="inlineStr">
        <is>
          <t>TX</t>
        </is>
      </c>
      <c r="F2768" s="53" t="inlineStr">
        <is>
          <t>MAVERICK</t>
        </is>
      </c>
      <c r="G2768" s="59" t="n"/>
      <c r="X2768" s="61" t="n"/>
      <c r="Y2768" s="61" t="n"/>
    </row>
    <row r="2769" ht="14.25" customHeight="1" s="86">
      <c r="E2769" s="53" t="inlineStr">
        <is>
          <t>TX</t>
        </is>
      </c>
      <c r="F2769" s="53" t="inlineStr">
        <is>
          <t>MCCULLOCH</t>
        </is>
      </c>
      <c r="G2769" s="59" t="n"/>
      <c r="X2769" s="61" t="n"/>
      <c r="Y2769" s="61" t="n"/>
    </row>
    <row r="2770" ht="14.25" customHeight="1" s="86">
      <c r="E2770" s="53" t="inlineStr">
        <is>
          <t>TX</t>
        </is>
      </c>
      <c r="F2770" s="53" t="inlineStr">
        <is>
          <t>MCLENNAN</t>
        </is>
      </c>
      <c r="G2770" s="59" t="n"/>
      <c r="X2770" s="61" t="n"/>
      <c r="Y2770" s="61" t="n"/>
    </row>
    <row r="2771" ht="14.25" customHeight="1" s="86">
      <c r="E2771" s="53" t="inlineStr">
        <is>
          <t>TX</t>
        </is>
      </c>
      <c r="F2771" s="53" t="inlineStr">
        <is>
          <t>MCMULLEN</t>
        </is>
      </c>
      <c r="G2771" s="59" t="n"/>
      <c r="X2771" s="61" t="n"/>
      <c r="Y2771" s="61" t="n"/>
    </row>
    <row r="2772" ht="14.25" customHeight="1" s="86">
      <c r="E2772" s="53" t="inlineStr">
        <is>
          <t>TX</t>
        </is>
      </c>
      <c r="F2772" s="53" t="inlineStr">
        <is>
          <t>MEDINA</t>
        </is>
      </c>
      <c r="G2772" s="59" t="n"/>
      <c r="X2772" s="61" t="n"/>
      <c r="Y2772" s="61" t="n"/>
    </row>
    <row r="2773" ht="14.25" customHeight="1" s="86">
      <c r="E2773" s="53" t="inlineStr">
        <is>
          <t>TX</t>
        </is>
      </c>
      <c r="F2773" s="53" t="inlineStr">
        <is>
          <t>MENARD</t>
        </is>
      </c>
      <c r="G2773" s="59" t="n"/>
      <c r="X2773" s="61" t="n"/>
      <c r="Y2773" s="61" t="n"/>
    </row>
    <row r="2774" ht="14.25" customHeight="1" s="86">
      <c r="E2774" s="53" t="inlineStr">
        <is>
          <t>TX</t>
        </is>
      </c>
      <c r="F2774" s="53" t="inlineStr">
        <is>
          <t>MIDLAND</t>
        </is>
      </c>
      <c r="G2774" s="59" t="n"/>
      <c r="X2774" s="61" t="n"/>
      <c r="Y2774" s="61" t="n"/>
    </row>
    <row r="2775" ht="14.25" customHeight="1" s="86">
      <c r="E2775" s="53" t="inlineStr">
        <is>
          <t>TX</t>
        </is>
      </c>
      <c r="F2775" s="53" t="inlineStr">
        <is>
          <t>MILAM</t>
        </is>
      </c>
      <c r="G2775" s="59" t="n"/>
      <c r="X2775" s="61" t="n"/>
      <c r="Y2775" s="61" t="n"/>
    </row>
    <row r="2776" ht="14.25" customHeight="1" s="86">
      <c r="E2776" s="53" t="inlineStr">
        <is>
          <t>TX</t>
        </is>
      </c>
      <c r="F2776" s="53" t="inlineStr">
        <is>
          <t>MILLS</t>
        </is>
      </c>
      <c r="G2776" s="59" t="n"/>
      <c r="X2776" s="61" t="n"/>
      <c r="Y2776" s="61" t="n"/>
    </row>
    <row r="2777" ht="14.25" customHeight="1" s="86">
      <c r="E2777" s="53" t="inlineStr">
        <is>
          <t>TX</t>
        </is>
      </c>
      <c r="F2777" s="53" t="inlineStr">
        <is>
          <t>MITCHELL</t>
        </is>
      </c>
      <c r="G2777" s="59" t="n"/>
      <c r="X2777" s="61" t="n"/>
      <c r="Y2777" s="61" t="n"/>
    </row>
    <row r="2778" ht="14.25" customHeight="1" s="86">
      <c r="E2778" s="53" t="inlineStr">
        <is>
          <t>TX</t>
        </is>
      </c>
      <c r="F2778" s="53" t="inlineStr">
        <is>
          <t>MONTAGUE</t>
        </is>
      </c>
      <c r="G2778" s="59" t="n"/>
      <c r="X2778" s="61" t="n"/>
      <c r="Y2778" s="61" t="n"/>
    </row>
    <row r="2779" ht="14.25" customHeight="1" s="86">
      <c r="E2779" s="53" t="inlineStr">
        <is>
          <t>TX</t>
        </is>
      </c>
      <c r="F2779" s="53" t="inlineStr">
        <is>
          <t>MONTGOMERY</t>
        </is>
      </c>
      <c r="G2779" s="59" t="n"/>
      <c r="X2779" s="61" t="n"/>
      <c r="Y2779" s="61" t="n"/>
    </row>
    <row r="2780" ht="14.25" customHeight="1" s="86">
      <c r="E2780" s="53" t="inlineStr">
        <is>
          <t>TX</t>
        </is>
      </c>
      <c r="F2780" s="53" t="inlineStr">
        <is>
          <t>MOORE</t>
        </is>
      </c>
      <c r="G2780" s="59" t="n"/>
      <c r="X2780" s="61" t="n"/>
      <c r="Y2780" s="61" t="n"/>
    </row>
    <row r="2781" ht="14.25" customHeight="1" s="86">
      <c r="E2781" s="53" t="inlineStr">
        <is>
          <t>TX</t>
        </is>
      </c>
      <c r="F2781" s="53" t="inlineStr">
        <is>
          <t>MORRIS</t>
        </is>
      </c>
      <c r="G2781" s="59" t="n"/>
      <c r="X2781" s="61" t="n"/>
      <c r="Y2781" s="61" t="n"/>
    </row>
    <row r="2782" ht="14.25" customHeight="1" s="86">
      <c r="E2782" s="53" t="inlineStr">
        <is>
          <t>TX</t>
        </is>
      </c>
      <c r="F2782" s="53" t="inlineStr">
        <is>
          <t>MOTLEY</t>
        </is>
      </c>
      <c r="G2782" s="59" t="n"/>
      <c r="X2782" s="61" t="n"/>
      <c r="Y2782" s="61" t="n"/>
    </row>
    <row r="2783" ht="14.25" customHeight="1" s="86">
      <c r="E2783" s="53" t="inlineStr">
        <is>
          <t>TX</t>
        </is>
      </c>
      <c r="F2783" s="53" t="inlineStr">
        <is>
          <t>NACOGDOCHES</t>
        </is>
      </c>
      <c r="G2783" s="59" t="n"/>
      <c r="X2783" s="61" t="n"/>
      <c r="Y2783" s="61" t="n"/>
    </row>
    <row r="2784" ht="14.25" customHeight="1" s="86">
      <c r="E2784" s="53" t="inlineStr">
        <is>
          <t>TX</t>
        </is>
      </c>
      <c r="F2784" s="53" t="inlineStr">
        <is>
          <t>NAVARRO</t>
        </is>
      </c>
      <c r="G2784" s="59" t="n"/>
      <c r="X2784" s="61" t="n"/>
      <c r="Y2784" s="61" t="n"/>
    </row>
    <row r="2785" ht="14.25" customHeight="1" s="86">
      <c r="E2785" s="53" t="inlineStr">
        <is>
          <t>TX</t>
        </is>
      </c>
      <c r="F2785" s="53" t="inlineStr">
        <is>
          <t>NEWTON</t>
        </is>
      </c>
      <c r="G2785" s="59" t="n"/>
      <c r="X2785" s="61" t="n"/>
      <c r="Y2785" s="61" t="n"/>
    </row>
    <row r="2786" ht="14.25" customHeight="1" s="86">
      <c r="E2786" s="53" t="inlineStr">
        <is>
          <t>TX</t>
        </is>
      </c>
      <c r="F2786" s="53" t="inlineStr">
        <is>
          <t>NOLAN</t>
        </is>
      </c>
      <c r="G2786" s="59" t="n"/>
      <c r="X2786" s="61" t="n"/>
      <c r="Y2786" s="61" t="n"/>
    </row>
    <row r="2787" ht="14.25" customHeight="1" s="86">
      <c r="E2787" s="53" t="inlineStr">
        <is>
          <t>TX</t>
        </is>
      </c>
      <c r="F2787" s="53" t="inlineStr">
        <is>
          <t>NUECES</t>
        </is>
      </c>
      <c r="G2787" s="59" t="n"/>
      <c r="X2787" s="61" t="n"/>
      <c r="Y2787" s="61" t="n"/>
    </row>
    <row r="2788" ht="14.25" customHeight="1" s="86">
      <c r="E2788" s="53" t="inlineStr">
        <is>
          <t>TX</t>
        </is>
      </c>
      <c r="F2788" s="53" t="inlineStr">
        <is>
          <t>OCHILTREE</t>
        </is>
      </c>
      <c r="G2788" s="59" t="n"/>
      <c r="X2788" s="61" t="n"/>
      <c r="Y2788" s="61" t="n"/>
    </row>
    <row r="2789" ht="14.25" customHeight="1" s="86">
      <c r="E2789" s="53" t="inlineStr">
        <is>
          <t>TX</t>
        </is>
      </c>
      <c r="F2789" s="53" t="inlineStr">
        <is>
          <t>OLDHAM</t>
        </is>
      </c>
      <c r="G2789" s="59" t="n"/>
      <c r="X2789" s="61" t="n"/>
      <c r="Y2789" s="61" t="n"/>
    </row>
    <row r="2790" ht="14.25" customHeight="1" s="86">
      <c r="E2790" s="53" t="inlineStr">
        <is>
          <t>TX</t>
        </is>
      </c>
      <c r="F2790" s="53" t="inlineStr">
        <is>
          <t>ORANGE</t>
        </is>
      </c>
      <c r="G2790" s="59" t="n"/>
      <c r="X2790" s="61" t="n"/>
      <c r="Y2790" s="61" t="n"/>
    </row>
    <row r="2791" ht="14.25" customHeight="1" s="86">
      <c r="E2791" s="53" t="inlineStr">
        <is>
          <t>TX</t>
        </is>
      </c>
      <c r="F2791" s="53" t="inlineStr">
        <is>
          <t>PALO PINTO</t>
        </is>
      </c>
      <c r="G2791" s="59" t="n"/>
      <c r="X2791" s="61" t="n"/>
      <c r="Y2791" s="61" t="n"/>
    </row>
    <row r="2792" ht="14.25" customHeight="1" s="86">
      <c r="E2792" s="53" t="inlineStr">
        <is>
          <t>TX</t>
        </is>
      </c>
      <c r="F2792" s="53" t="inlineStr">
        <is>
          <t>PANOLA</t>
        </is>
      </c>
      <c r="G2792" s="59" t="n"/>
      <c r="X2792" s="61" t="n"/>
      <c r="Y2792" s="61" t="n"/>
    </row>
    <row r="2793" ht="14.25" customHeight="1" s="86">
      <c r="E2793" s="53" t="inlineStr">
        <is>
          <t>TX</t>
        </is>
      </c>
      <c r="F2793" s="53" t="inlineStr">
        <is>
          <t>PARKER</t>
        </is>
      </c>
      <c r="G2793" s="59" t="n"/>
      <c r="X2793" s="61" t="n"/>
      <c r="Y2793" s="61" t="n"/>
    </row>
    <row r="2794" ht="14.25" customHeight="1" s="86">
      <c r="E2794" s="53" t="inlineStr">
        <is>
          <t>TX</t>
        </is>
      </c>
      <c r="F2794" s="53" t="inlineStr">
        <is>
          <t>PARMER</t>
        </is>
      </c>
      <c r="G2794" s="59" t="n"/>
      <c r="X2794" s="61" t="n"/>
      <c r="Y2794" s="61" t="n"/>
    </row>
    <row r="2795" ht="14.25" customHeight="1" s="86">
      <c r="E2795" s="53" t="inlineStr">
        <is>
          <t>TX</t>
        </is>
      </c>
      <c r="F2795" s="53" t="inlineStr">
        <is>
          <t>PECOS</t>
        </is>
      </c>
      <c r="G2795" s="59" t="n"/>
      <c r="X2795" s="61" t="n"/>
      <c r="Y2795" s="61" t="n"/>
    </row>
    <row r="2796" ht="14.25" customHeight="1" s="86">
      <c r="E2796" s="53" t="inlineStr">
        <is>
          <t>TX</t>
        </is>
      </c>
      <c r="F2796" s="53" t="inlineStr">
        <is>
          <t>POLK</t>
        </is>
      </c>
      <c r="G2796" s="59" t="n"/>
      <c r="X2796" s="61" t="n"/>
      <c r="Y2796" s="61" t="n"/>
    </row>
    <row r="2797" ht="14.25" customHeight="1" s="86">
      <c r="E2797" s="53" t="inlineStr">
        <is>
          <t>TX</t>
        </is>
      </c>
      <c r="F2797" s="53" t="inlineStr">
        <is>
          <t>POTTER</t>
        </is>
      </c>
      <c r="G2797" s="59" t="n"/>
      <c r="X2797" s="61" t="n"/>
      <c r="Y2797" s="61" t="n"/>
    </row>
    <row r="2798" ht="14.25" customHeight="1" s="86">
      <c r="E2798" s="53" t="inlineStr">
        <is>
          <t>TX</t>
        </is>
      </c>
      <c r="F2798" s="53" t="inlineStr">
        <is>
          <t>PRESIDIO</t>
        </is>
      </c>
      <c r="G2798" s="59" t="n"/>
      <c r="X2798" s="61" t="n"/>
      <c r="Y2798" s="61" t="n"/>
    </row>
    <row r="2799" ht="14.25" customHeight="1" s="86">
      <c r="E2799" s="53" t="inlineStr">
        <is>
          <t>TX</t>
        </is>
      </c>
      <c r="F2799" s="53" t="inlineStr">
        <is>
          <t>RAINS</t>
        </is>
      </c>
      <c r="G2799" s="59" t="n"/>
      <c r="X2799" s="61" t="n"/>
      <c r="Y2799" s="61" t="n"/>
    </row>
    <row r="2800" ht="14.25" customHeight="1" s="86">
      <c r="E2800" s="53" t="inlineStr">
        <is>
          <t>TX</t>
        </is>
      </c>
      <c r="F2800" s="53" t="inlineStr">
        <is>
          <t>RANDALL</t>
        </is>
      </c>
      <c r="G2800" s="59" t="n"/>
      <c r="X2800" s="61" t="n"/>
      <c r="Y2800" s="61" t="n"/>
    </row>
    <row r="2801" ht="14.25" customHeight="1" s="86">
      <c r="E2801" s="53" t="inlineStr">
        <is>
          <t>TX</t>
        </is>
      </c>
      <c r="F2801" s="53" t="inlineStr">
        <is>
          <t>REAGAN</t>
        </is>
      </c>
      <c r="G2801" s="59" t="n"/>
      <c r="X2801" s="61" t="n"/>
      <c r="Y2801" s="61" t="n"/>
    </row>
    <row r="2802" ht="14.25" customHeight="1" s="86">
      <c r="E2802" s="53" t="inlineStr">
        <is>
          <t>TX</t>
        </is>
      </c>
      <c r="F2802" s="53" t="inlineStr">
        <is>
          <t>REAL</t>
        </is>
      </c>
      <c r="G2802" s="59" t="n"/>
      <c r="X2802" s="61" t="n"/>
      <c r="Y2802" s="61" t="n"/>
    </row>
    <row r="2803" ht="14.25" customHeight="1" s="86">
      <c r="E2803" s="53" t="inlineStr">
        <is>
          <t>TX</t>
        </is>
      </c>
      <c r="F2803" s="53" t="inlineStr">
        <is>
          <t>RED RIVER</t>
        </is>
      </c>
      <c r="G2803" s="59" t="n"/>
      <c r="X2803" s="61" t="n"/>
      <c r="Y2803" s="61" t="n"/>
    </row>
    <row r="2804" ht="14.25" customHeight="1" s="86">
      <c r="E2804" s="53" t="inlineStr">
        <is>
          <t>TX</t>
        </is>
      </c>
      <c r="F2804" s="53" t="inlineStr">
        <is>
          <t>REEVES</t>
        </is>
      </c>
      <c r="G2804" s="59" t="n"/>
      <c r="X2804" s="61" t="n"/>
      <c r="Y2804" s="61" t="n"/>
    </row>
    <row r="2805" ht="14.25" customHeight="1" s="86">
      <c r="E2805" s="53" t="inlineStr">
        <is>
          <t>TX</t>
        </is>
      </c>
      <c r="F2805" s="53" t="inlineStr">
        <is>
          <t>REFUGIO</t>
        </is>
      </c>
      <c r="G2805" s="59" t="n"/>
      <c r="X2805" s="61" t="n"/>
      <c r="Y2805" s="61" t="n"/>
    </row>
    <row r="2806" ht="14.25" customHeight="1" s="86">
      <c r="E2806" s="53" t="inlineStr">
        <is>
          <t>TX</t>
        </is>
      </c>
      <c r="F2806" s="53" t="inlineStr">
        <is>
          <t>ROBERTS</t>
        </is>
      </c>
      <c r="G2806" s="59" t="n"/>
      <c r="X2806" s="61" t="n"/>
      <c r="Y2806" s="61" t="n"/>
    </row>
    <row r="2807" ht="14.25" customHeight="1" s="86">
      <c r="E2807" s="53" t="inlineStr">
        <is>
          <t>TX</t>
        </is>
      </c>
      <c r="F2807" s="53" t="inlineStr">
        <is>
          <t>ROBERTSON</t>
        </is>
      </c>
      <c r="G2807" s="59" t="n"/>
      <c r="X2807" s="61" t="n"/>
      <c r="Y2807" s="61" t="n"/>
    </row>
    <row r="2808" ht="14.25" customHeight="1" s="86">
      <c r="E2808" s="53" t="inlineStr">
        <is>
          <t>TX</t>
        </is>
      </c>
      <c r="F2808" s="53" t="inlineStr">
        <is>
          <t>ROCKWALL</t>
        </is>
      </c>
      <c r="G2808" s="59" t="n"/>
      <c r="X2808" s="61" t="n"/>
      <c r="Y2808" s="61" t="n"/>
    </row>
    <row r="2809" ht="14.25" customHeight="1" s="86">
      <c r="E2809" s="53" t="inlineStr">
        <is>
          <t>TX</t>
        </is>
      </c>
      <c r="F2809" s="53" t="inlineStr">
        <is>
          <t>RUNNELS</t>
        </is>
      </c>
      <c r="G2809" s="59" t="n"/>
      <c r="X2809" s="61" t="n"/>
      <c r="Y2809" s="61" t="n"/>
    </row>
    <row r="2810" ht="14.25" customHeight="1" s="86">
      <c r="E2810" s="53" t="inlineStr">
        <is>
          <t>TX</t>
        </is>
      </c>
      <c r="F2810" s="53" t="inlineStr">
        <is>
          <t>RUSK</t>
        </is>
      </c>
      <c r="G2810" s="59" t="n"/>
      <c r="X2810" s="61" t="n"/>
      <c r="Y2810" s="61" t="n"/>
    </row>
    <row r="2811" ht="14.25" customHeight="1" s="86">
      <c r="E2811" s="53" t="inlineStr">
        <is>
          <t>TX</t>
        </is>
      </c>
      <c r="F2811" s="53" t="inlineStr">
        <is>
          <t>SABINE</t>
        </is>
      </c>
      <c r="G2811" s="59" t="n"/>
      <c r="X2811" s="61" t="n"/>
      <c r="Y2811" s="61" t="n"/>
    </row>
    <row r="2812" ht="14.25" customHeight="1" s="86">
      <c r="E2812" s="53" t="inlineStr">
        <is>
          <t>TX</t>
        </is>
      </c>
      <c r="F2812" s="53" t="inlineStr">
        <is>
          <t>SAN AUGUSTINE</t>
        </is>
      </c>
      <c r="G2812" s="59" t="n"/>
      <c r="X2812" s="61" t="n"/>
      <c r="Y2812" s="61" t="n"/>
    </row>
    <row r="2813" ht="14.25" customHeight="1" s="86">
      <c r="E2813" s="53" t="inlineStr">
        <is>
          <t>TX</t>
        </is>
      </c>
      <c r="F2813" s="53" t="inlineStr">
        <is>
          <t>SAN JACINTO</t>
        </is>
      </c>
      <c r="G2813" s="59" t="n"/>
      <c r="X2813" s="61" t="n"/>
      <c r="Y2813" s="61" t="n"/>
    </row>
    <row r="2814" ht="14.25" customHeight="1" s="86">
      <c r="E2814" s="53" t="inlineStr">
        <is>
          <t>TX</t>
        </is>
      </c>
      <c r="F2814" s="53" t="inlineStr">
        <is>
          <t>SAN PATRICIO</t>
        </is>
      </c>
      <c r="G2814" s="59" t="n"/>
      <c r="X2814" s="61" t="n"/>
      <c r="Y2814" s="61" t="n"/>
    </row>
    <row r="2815" ht="14.25" customHeight="1" s="86">
      <c r="E2815" s="53" t="inlineStr">
        <is>
          <t>TX</t>
        </is>
      </c>
      <c r="F2815" s="53" t="inlineStr">
        <is>
          <t>SAN SABA</t>
        </is>
      </c>
      <c r="G2815" s="59" t="n"/>
      <c r="X2815" s="61" t="n"/>
      <c r="Y2815" s="61" t="n"/>
    </row>
    <row r="2816" ht="14.25" customHeight="1" s="86">
      <c r="E2816" s="53" t="inlineStr">
        <is>
          <t>TX</t>
        </is>
      </c>
      <c r="F2816" s="53" t="inlineStr">
        <is>
          <t>SCHLEICHER</t>
        </is>
      </c>
      <c r="G2816" s="59" t="n"/>
      <c r="X2816" s="61" t="n"/>
      <c r="Y2816" s="61" t="n"/>
    </row>
    <row r="2817" ht="14.25" customHeight="1" s="86">
      <c r="E2817" s="53" t="inlineStr">
        <is>
          <t>TX</t>
        </is>
      </c>
      <c r="F2817" s="53" t="inlineStr">
        <is>
          <t>SCURRY</t>
        </is>
      </c>
      <c r="G2817" s="59" t="n"/>
      <c r="X2817" s="61" t="n"/>
      <c r="Y2817" s="61" t="n"/>
    </row>
    <row r="2818" ht="14.25" customHeight="1" s="86">
      <c r="E2818" s="53" t="inlineStr">
        <is>
          <t>TX</t>
        </is>
      </c>
      <c r="F2818" s="53" t="inlineStr">
        <is>
          <t>SHACKELFORD</t>
        </is>
      </c>
      <c r="G2818" s="59" t="n"/>
      <c r="X2818" s="61" t="n"/>
      <c r="Y2818" s="61" t="n"/>
    </row>
    <row r="2819" ht="14.25" customHeight="1" s="86">
      <c r="E2819" s="53" t="inlineStr">
        <is>
          <t>TX</t>
        </is>
      </c>
      <c r="F2819" s="53" t="inlineStr">
        <is>
          <t>SHELBY</t>
        </is>
      </c>
      <c r="G2819" s="59" t="n"/>
      <c r="X2819" s="61" t="n"/>
      <c r="Y2819" s="61" t="n"/>
    </row>
    <row r="2820" ht="14.25" customHeight="1" s="86">
      <c r="E2820" s="53" t="inlineStr">
        <is>
          <t>TX</t>
        </is>
      </c>
      <c r="F2820" s="53" t="inlineStr">
        <is>
          <t>SHERMAN</t>
        </is>
      </c>
      <c r="G2820" s="59" t="n"/>
      <c r="X2820" s="61" t="n"/>
      <c r="Y2820" s="61" t="n"/>
    </row>
    <row r="2821" ht="14.25" customHeight="1" s="86">
      <c r="E2821" s="53" t="inlineStr">
        <is>
          <t>TX</t>
        </is>
      </c>
      <c r="F2821" s="53" t="inlineStr">
        <is>
          <t>SMITH</t>
        </is>
      </c>
      <c r="G2821" s="59" t="n"/>
      <c r="X2821" s="61" t="n"/>
      <c r="Y2821" s="61" t="n"/>
    </row>
    <row r="2822" ht="14.25" customHeight="1" s="86">
      <c r="E2822" s="53" t="inlineStr">
        <is>
          <t>TX</t>
        </is>
      </c>
      <c r="F2822" s="53" t="inlineStr">
        <is>
          <t>SOMERVELL</t>
        </is>
      </c>
      <c r="G2822" s="59" t="n"/>
      <c r="X2822" s="61" t="n"/>
      <c r="Y2822" s="61" t="n"/>
    </row>
    <row r="2823" ht="14.25" customHeight="1" s="86">
      <c r="E2823" s="53" t="inlineStr">
        <is>
          <t>TX</t>
        </is>
      </c>
      <c r="F2823" s="53" t="inlineStr">
        <is>
          <t>STARR</t>
        </is>
      </c>
      <c r="G2823" s="59" t="n"/>
      <c r="X2823" s="61" t="n"/>
      <c r="Y2823" s="61" t="n"/>
    </row>
    <row r="2824" ht="14.25" customHeight="1" s="86">
      <c r="E2824" s="53" t="inlineStr">
        <is>
          <t>TX</t>
        </is>
      </c>
      <c r="F2824" s="53" t="inlineStr">
        <is>
          <t>STEPHENS</t>
        </is>
      </c>
      <c r="G2824" s="59" t="n"/>
      <c r="X2824" s="61" t="n"/>
      <c r="Y2824" s="61" t="n"/>
    </row>
    <row r="2825" ht="14.25" customHeight="1" s="86">
      <c r="E2825" s="53" t="inlineStr">
        <is>
          <t>TX</t>
        </is>
      </c>
      <c r="F2825" s="53" t="inlineStr">
        <is>
          <t>STERLING</t>
        </is>
      </c>
      <c r="G2825" s="59" t="n"/>
      <c r="X2825" s="61" t="n"/>
      <c r="Y2825" s="61" t="n"/>
    </row>
    <row r="2826" ht="14.25" customHeight="1" s="86">
      <c r="E2826" s="53" t="inlineStr">
        <is>
          <t>TX</t>
        </is>
      </c>
      <c r="F2826" s="53" t="inlineStr">
        <is>
          <t>STONEWALL</t>
        </is>
      </c>
      <c r="G2826" s="59" t="n"/>
      <c r="X2826" s="61" t="n"/>
      <c r="Y2826" s="61" t="n"/>
    </row>
    <row r="2827" ht="14.25" customHeight="1" s="86">
      <c r="E2827" s="53" t="inlineStr">
        <is>
          <t>TX</t>
        </is>
      </c>
      <c r="F2827" s="53" t="inlineStr">
        <is>
          <t>SUTTON</t>
        </is>
      </c>
      <c r="G2827" s="59" t="n"/>
      <c r="X2827" s="61" t="n"/>
      <c r="Y2827" s="61" t="n"/>
    </row>
    <row r="2828" ht="14.25" customHeight="1" s="86">
      <c r="E2828" s="53" t="inlineStr">
        <is>
          <t>TX</t>
        </is>
      </c>
      <c r="F2828" s="53" t="inlineStr">
        <is>
          <t>SWISHER</t>
        </is>
      </c>
      <c r="G2828" s="59" t="n"/>
      <c r="X2828" s="61" t="n"/>
      <c r="Y2828" s="61" t="n"/>
    </row>
    <row r="2829" ht="14.25" customHeight="1" s="86">
      <c r="E2829" s="53" t="inlineStr">
        <is>
          <t>TX</t>
        </is>
      </c>
      <c r="F2829" s="53" t="inlineStr">
        <is>
          <t>TARRANT</t>
        </is>
      </c>
      <c r="G2829" s="59" t="n"/>
      <c r="X2829" s="61" t="n"/>
      <c r="Y2829" s="61" t="n"/>
    </row>
    <row r="2830" ht="14.25" customHeight="1" s="86">
      <c r="E2830" s="53" t="inlineStr">
        <is>
          <t>TX</t>
        </is>
      </c>
      <c r="F2830" s="53" t="inlineStr">
        <is>
          <t>TAYLOR</t>
        </is>
      </c>
      <c r="G2830" s="59" t="n"/>
      <c r="X2830" s="61" t="n"/>
      <c r="Y2830" s="61" t="n"/>
    </row>
    <row r="2831" ht="14.25" customHeight="1" s="86">
      <c r="E2831" s="53" t="inlineStr">
        <is>
          <t>TX</t>
        </is>
      </c>
      <c r="F2831" s="53" t="inlineStr">
        <is>
          <t>TERRELL</t>
        </is>
      </c>
      <c r="G2831" s="59" t="n"/>
      <c r="X2831" s="61" t="n"/>
      <c r="Y2831" s="61" t="n"/>
    </row>
    <row r="2832" ht="14.25" customHeight="1" s="86">
      <c r="E2832" s="53" t="inlineStr">
        <is>
          <t>TX</t>
        </is>
      </c>
      <c r="F2832" s="53" t="inlineStr">
        <is>
          <t>TERRY</t>
        </is>
      </c>
      <c r="G2832" s="59" t="n"/>
      <c r="X2832" s="61" t="n"/>
      <c r="Y2832" s="61" t="n"/>
    </row>
    <row r="2833" ht="14.25" customHeight="1" s="86">
      <c r="E2833" s="53" t="inlineStr">
        <is>
          <t>TX</t>
        </is>
      </c>
      <c r="F2833" s="53" t="inlineStr">
        <is>
          <t>THROCKMORTON</t>
        </is>
      </c>
      <c r="G2833" s="59" t="n"/>
      <c r="X2833" s="61" t="n"/>
      <c r="Y2833" s="61" t="n"/>
    </row>
    <row r="2834" ht="14.25" customHeight="1" s="86">
      <c r="E2834" s="53" t="inlineStr">
        <is>
          <t>TX</t>
        </is>
      </c>
      <c r="F2834" s="53" t="inlineStr">
        <is>
          <t>TITUS</t>
        </is>
      </c>
      <c r="G2834" s="59" t="n"/>
      <c r="X2834" s="61" t="n"/>
      <c r="Y2834" s="61" t="n"/>
    </row>
    <row r="2835" ht="14.25" customHeight="1" s="86">
      <c r="E2835" s="53" t="inlineStr">
        <is>
          <t>TX</t>
        </is>
      </c>
      <c r="F2835" s="53" t="inlineStr">
        <is>
          <t>TOM GREEN</t>
        </is>
      </c>
      <c r="G2835" s="59" t="n"/>
      <c r="X2835" s="61" t="n"/>
      <c r="Y2835" s="61" t="n"/>
    </row>
    <row r="2836" ht="14.25" customHeight="1" s="86">
      <c r="E2836" s="53" t="inlineStr">
        <is>
          <t>TX</t>
        </is>
      </c>
      <c r="F2836" s="53" t="inlineStr">
        <is>
          <t>TRAVIS</t>
        </is>
      </c>
      <c r="G2836" s="59" t="n"/>
      <c r="X2836" s="61" t="n"/>
      <c r="Y2836" s="61" t="n"/>
    </row>
    <row r="2837" ht="14.25" customHeight="1" s="86">
      <c r="E2837" s="53" t="inlineStr">
        <is>
          <t>TX</t>
        </is>
      </c>
      <c r="F2837" s="53" t="inlineStr">
        <is>
          <t>TRINITY</t>
        </is>
      </c>
      <c r="G2837" s="59" t="n"/>
      <c r="X2837" s="61" t="n"/>
      <c r="Y2837" s="61" t="n"/>
    </row>
    <row r="2838" ht="14.25" customHeight="1" s="86">
      <c r="E2838" s="53" t="inlineStr">
        <is>
          <t>TX</t>
        </is>
      </c>
      <c r="F2838" s="53" t="inlineStr">
        <is>
          <t>TYLER</t>
        </is>
      </c>
      <c r="G2838" s="59" t="n"/>
      <c r="X2838" s="61" t="n"/>
      <c r="Y2838" s="61" t="n"/>
    </row>
    <row r="2839" ht="14.25" customHeight="1" s="86">
      <c r="E2839" s="53" t="inlineStr">
        <is>
          <t>TX</t>
        </is>
      </c>
      <c r="F2839" s="53" t="inlineStr">
        <is>
          <t>UPSHUR</t>
        </is>
      </c>
      <c r="G2839" s="59" t="n"/>
      <c r="X2839" s="61" t="n"/>
      <c r="Y2839" s="61" t="n"/>
    </row>
    <row r="2840" ht="14.25" customHeight="1" s="86">
      <c r="E2840" s="53" t="inlineStr">
        <is>
          <t>TX</t>
        </is>
      </c>
      <c r="F2840" s="53" t="inlineStr">
        <is>
          <t>UPTON</t>
        </is>
      </c>
      <c r="G2840" s="59" t="n"/>
      <c r="X2840" s="61" t="n"/>
      <c r="Y2840" s="61" t="n"/>
    </row>
    <row r="2841" ht="14.25" customHeight="1" s="86">
      <c r="E2841" s="53" t="inlineStr">
        <is>
          <t>TX</t>
        </is>
      </c>
      <c r="F2841" s="53" t="inlineStr">
        <is>
          <t>UVALDE</t>
        </is>
      </c>
      <c r="G2841" s="59" t="n"/>
      <c r="X2841" s="61" t="n"/>
      <c r="Y2841" s="61" t="n"/>
    </row>
    <row r="2842" ht="14.25" customHeight="1" s="86">
      <c r="E2842" s="53" t="inlineStr">
        <is>
          <t>TX</t>
        </is>
      </c>
      <c r="F2842" s="53" t="inlineStr">
        <is>
          <t>VAL VERDE</t>
        </is>
      </c>
      <c r="G2842" s="59" t="n"/>
      <c r="X2842" s="61" t="n"/>
      <c r="Y2842" s="61" t="n"/>
    </row>
    <row r="2843" ht="14.25" customHeight="1" s="86">
      <c r="E2843" s="53" t="inlineStr">
        <is>
          <t>TX</t>
        </is>
      </c>
      <c r="F2843" s="53" t="inlineStr">
        <is>
          <t>VAN ZANDT</t>
        </is>
      </c>
      <c r="G2843" s="59" t="n"/>
      <c r="X2843" s="61" t="n"/>
      <c r="Y2843" s="61" t="n"/>
    </row>
    <row r="2844" ht="14.25" customHeight="1" s="86">
      <c r="E2844" s="53" t="inlineStr">
        <is>
          <t>TX</t>
        </is>
      </c>
      <c r="F2844" s="53" t="inlineStr">
        <is>
          <t>VICTORIA</t>
        </is>
      </c>
      <c r="G2844" s="59" t="n"/>
      <c r="X2844" s="61" t="n"/>
      <c r="Y2844" s="61" t="n"/>
    </row>
    <row r="2845" ht="14.25" customHeight="1" s="86">
      <c r="E2845" s="53" t="inlineStr">
        <is>
          <t>TX</t>
        </is>
      </c>
      <c r="F2845" s="53" t="inlineStr">
        <is>
          <t>WALKER</t>
        </is>
      </c>
      <c r="G2845" s="59" t="n"/>
      <c r="X2845" s="61" t="n"/>
      <c r="Y2845" s="61" t="n"/>
    </row>
    <row r="2846" ht="14.25" customHeight="1" s="86">
      <c r="E2846" s="53" t="inlineStr">
        <is>
          <t>TX</t>
        </is>
      </c>
      <c r="F2846" s="53" t="inlineStr">
        <is>
          <t>WALLER</t>
        </is>
      </c>
      <c r="G2846" s="59" t="n"/>
      <c r="X2846" s="61" t="n"/>
      <c r="Y2846" s="61" t="n"/>
    </row>
    <row r="2847" ht="14.25" customHeight="1" s="86">
      <c r="E2847" s="53" t="inlineStr">
        <is>
          <t>TX</t>
        </is>
      </c>
      <c r="F2847" s="53" t="inlineStr">
        <is>
          <t>WARD</t>
        </is>
      </c>
      <c r="G2847" s="59" t="n"/>
      <c r="X2847" s="61" t="n"/>
      <c r="Y2847" s="61" t="n"/>
    </row>
    <row r="2848" ht="14.25" customHeight="1" s="86">
      <c r="E2848" s="53" t="inlineStr">
        <is>
          <t>TX</t>
        </is>
      </c>
      <c r="F2848" s="53" t="inlineStr">
        <is>
          <t>WASHINGTON</t>
        </is>
      </c>
      <c r="G2848" s="59" t="n"/>
      <c r="X2848" s="61" t="n"/>
      <c r="Y2848" s="61" t="n"/>
    </row>
    <row r="2849" ht="14.25" customHeight="1" s="86">
      <c r="E2849" s="53" t="inlineStr">
        <is>
          <t>TX</t>
        </is>
      </c>
      <c r="F2849" s="53" t="inlineStr">
        <is>
          <t>WEBB</t>
        </is>
      </c>
      <c r="G2849" s="59" t="n"/>
      <c r="X2849" s="61" t="n"/>
      <c r="Y2849" s="61" t="n"/>
    </row>
    <row r="2850" ht="14.25" customHeight="1" s="86">
      <c r="E2850" s="53" t="inlineStr">
        <is>
          <t>TX</t>
        </is>
      </c>
      <c r="F2850" s="53" t="inlineStr">
        <is>
          <t>WHARTON</t>
        </is>
      </c>
      <c r="G2850" s="59" t="n"/>
      <c r="X2850" s="61" t="n"/>
      <c r="Y2850" s="61" t="n"/>
    </row>
    <row r="2851" ht="14.25" customHeight="1" s="86">
      <c r="E2851" s="53" t="inlineStr">
        <is>
          <t>TX</t>
        </is>
      </c>
      <c r="F2851" s="53" t="inlineStr">
        <is>
          <t>WHEELER</t>
        </is>
      </c>
      <c r="G2851" s="59" t="n"/>
      <c r="X2851" s="61" t="n"/>
      <c r="Y2851" s="61" t="n"/>
    </row>
    <row r="2852" ht="14.25" customHeight="1" s="86">
      <c r="E2852" s="53" t="inlineStr">
        <is>
          <t>TX</t>
        </is>
      </c>
      <c r="F2852" s="53" t="inlineStr">
        <is>
          <t>WICHITA</t>
        </is>
      </c>
      <c r="G2852" s="59" t="n"/>
      <c r="X2852" s="61" t="n"/>
      <c r="Y2852" s="61" t="n"/>
    </row>
    <row r="2853" ht="14.25" customHeight="1" s="86">
      <c r="E2853" s="53" t="inlineStr">
        <is>
          <t>TX</t>
        </is>
      </c>
      <c r="F2853" s="53" t="inlineStr">
        <is>
          <t>WILBARGER</t>
        </is>
      </c>
      <c r="G2853" s="59" t="n"/>
      <c r="X2853" s="61" t="n"/>
      <c r="Y2853" s="61" t="n"/>
    </row>
    <row r="2854" ht="14.25" customHeight="1" s="86">
      <c r="E2854" s="53" t="inlineStr">
        <is>
          <t>TX</t>
        </is>
      </c>
      <c r="F2854" s="53" t="inlineStr">
        <is>
          <t>WILLACY</t>
        </is>
      </c>
      <c r="G2854" s="59" t="n"/>
      <c r="X2854" s="61" t="n"/>
      <c r="Y2854" s="61" t="n"/>
    </row>
    <row r="2855" ht="14.25" customHeight="1" s="86">
      <c r="E2855" s="53" t="inlineStr">
        <is>
          <t>TX</t>
        </is>
      </c>
      <c r="F2855" s="53" t="inlineStr">
        <is>
          <t>WILLIAMSON</t>
        </is>
      </c>
      <c r="G2855" s="59" t="n"/>
      <c r="X2855" s="61" t="n"/>
      <c r="Y2855" s="61" t="n"/>
    </row>
    <row r="2856" ht="14.25" customHeight="1" s="86">
      <c r="E2856" s="53" t="inlineStr">
        <is>
          <t>TX</t>
        </is>
      </c>
      <c r="F2856" s="53" t="inlineStr">
        <is>
          <t>WILSON</t>
        </is>
      </c>
      <c r="G2856" s="59" t="n"/>
      <c r="X2856" s="61" t="n"/>
      <c r="Y2856" s="61" t="n"/>
    </row>
    <row r="2857" ht="14.25" customHeight="1" s="86">
      <c r="E2857" s="53" t="inlineStr">
        <is>
          <t>TX</t>
        </is>
      </c>
      <c r="F2857" s="53" t="inlineStr">
        <is>
          <t>WINKLER</t>
        </is>
      </c>
      <c r="G2857" s="59" t="n"/>
      <c r="X2857" s="61" t="n"/>
      <c r="Y2857" s="61" t="n"/>
    </row>
    <row r="2858" ht="14.25" customHeight="1" s="86">
      <c r="E2858" s="53" t="inlineStr">
        <is>
          <t>TX</t>
        </is>
      </c>
      <c r="F2858" s="53" t="inlineStr">
        <is>
          <t>WISE</t>
        </is>
      </c>
      <c r="G2858" s="59" t="n"/>
      <c r="X2858" s="61" t="n"/>
      <c r="Y2858" s="61" t="n"/>
    </row>
    <row r="2859" ht="14.25" customHeight="1" s="86">
      <c r="E2859" s="53" t="inlineStr">
        <is>
          <t>TX</t>
        </is>
      </c>
      <c r="F2859" s="53" t="inlineStr">
        <is>
          <t>WOOD</t>
        </is>
      </c>
      <c r="G2859" s="59" t="n"/>
      <c r="X2859" s="61" t="n"/>
      <c r="Y2859" s="61" t="n"/>
    </row>
    <row r="2860" ht="14.25" customHeight="1" s="86">
      <c r="E2860" s="53" t="inlineStr">
        <is>
          <t>TX</t>
        </is>
      </c>
      <c r="F2860" s="53" t="inlineStr">
        <is>
          <t>YOAKUM</t>
        </is>
      </c>
      <c r="G2860" s="59" t="n"/>
      <c r="X2860" s="61" t="n"/>
      <c r="Y2860" s="61" t="n"/>
    </row>
    <row r="2861" ht="14.25" customHeight="1" s="86">
      <c r="E2861" s="53" t="inlineStr">
        <is>
          <t>TX</t>
        </is>
      </c>
      <c r="F2861" s="53" t="inlineStr">
        <is>
          <t>YOUNG</t>
        </is>
      </c>
      <c r="G2861" s="59" t="n"/>
      <c r="X2861" s="61" t="n"/>
      <c r="Y2861" s="61" t="n"/>
    </row>
    <row r="2862" ht="14.25" customHeight="1" s="86">
      <c r="E2862" s="53" t="inlineStr">
        <is>
          <t>TX</t>
        </is>
      </c>
      <c r="F2862" s="53" t="inlineStr">
        <is>
          <t>ZAPATA</t>
        </is>
      </c>
      <c r="G2862" s="59" t="n"/>
      <c r="X2862" s="61" t="n"/>
      <c r="Y2862" s="61" t="n"/>
    </row>
    <row r="2863" ht="14.25" customHeight="1" s="86">
      <c r="E2863" s="53" t="inlineStr">
        <is>
          <t>TX</t>
        </is>
      </c>
      <c r="F2863" s="53" t="inlineStr">
        <is>
          <t>ZAVALA</t>
        </is>
      </c>
      <c r="G2863" s="59" t="n"/>
      <c r="X2863" s="61" t="n"/>
      <c r="Y2863" s="61" t="n"/>
    </row>
    <row r="2864" ht="14.25" customHeight="1" s="86">
      <c r="E2864" s="53" t="inlineStr">
        <is>
          <t>UT</t>
        </is>
      </c>
      <c r="F2864" s="53" t="inlineStr">
        <is>
          <t>BEAVER</t>
        </is>
      </c>
      <c r="G2864" s="59" t="n"/>
      <c r="X2864" s="61" t="n"/>
      <c r="Y2864" s="61" t="n"/>
    </row>
    <row r="2865" ht="14.25" customHeight="1" s="86">
      <c r="E2865" s="53" t="inlineStr">
        <is>
          <t>UT</t>
        </is>
      </c>
      <c r="F2865" s="53" t="inlineStr">
        <is>
          <t>BOX ELDER</t>
        </is>
      </c>
      <c r="G2865" s="59" t="n"/>
      <c r="X2865" s="61" t="n"/>
      <c r="Y2865" s="61" t="n"/>
    </row>
    <row r="2866" ht="14.25" customHeight="1" s="86">
      <c r="E2866" s="53" t="inlineStr">
        <is>
          <t>UT</t>
        </is>
      </c>
      <c r="F2866" s="53" t="inlineStr">
        <is>
          <t>CACHE</t>
        </is>
      </c>
      <c r="G2866" s="59" t="n"/>
      <c r="X2866" s="61" t="n"/>
      <c r="Y2866" s="61" t="n"/>
    </row>
    <row r="2867" ht="14.25" customHeight="1" s="86">
      <c r="E2867" s="53" t="inlineStr">
        <is>
          <t>UT</t>
        </is>
      </c>
      <c r="F2867" s="53" t="inlineStr">
        <is>
          <t>CARBON</t>
        </is>
      </c>
      <c r="G2867" s="59" t="n"/>
      <c r="X2867" s="61" t="n"/>
      <c r="Y2867" s="61" t="n"/>
    </row>
    <row r="2868" ht="14.25" customHeight="1" s="86">
      <c r="E2868" s="53" t="inlineStr">
        <is>
          <t>UT</t>
        </is>
      </c>
      <c r="F2868" s="53" t="inlineStr">
        <is>
          <t>DAGGETT</t>
        </is>
      </c>
      <c r="G2868" s="59" t="n"/>
      <c r="X2868" s="61" t="n"/>
      <c r="Y2868" s="61" t="n"/>
    </row>
    <row r="2869" ht="14.25" customHeight="1" s="86">
      <c r="E2869" s="53" t="inlineStr">
        <is>
          <t>UT</t>
        </is>
      </c>
      <c r="F2869" s="53" t="inlineStr">
        <is>
          <t>DAVIS</t>
        </is>
      </c>
      <c r="G2869" s="59" t="n"/>
      <c r="X2869" s="61" t="n"/>
      <c r="Y2869" s="61" t="n"/>
    </row>
    <row r="2870" ht="14.25" customHeight="1" s="86">
      <c r="E2870" s="53" t="inlineStr">
        <is>
          <t>UT</t>
        </is>
      </c>
      <c r="F2870" s="53" t="inlineStr">
        <is>
          <t>DUCHESNE</t>
        </is>
      </c>
      <c r="G2870" s="59" t="n"/>
      <c r="X2870" s="61" t="n"/>
      <c r="Y2870" s="61" t="n"/>
    </row>
    <row r="2871" ht="14.25" customHeight="1" s="86">
      <c r="E2871" s="53" t="inlineStr">
        <is>
          <t>UT</t>
        </is>
      </c>
      <c r="F2871" s="53" t="inlineStr">
        <is>
          <t>EMERY</t>
        </is>
      </c>
      <c r="G2871" s="59" t="n"/>
      <c r="X2871" s="61" t="n"/>
      <c r="Y2871" s="61" t="n"/>
    </row>
    <row r="2872" ht="14.25" customHeight="1" s="86">
      <c r="E2872" s="53" t="inlineStr">
        <is>
          <t>UT</t>
        </is>
      </c>
      <c r="F2872" s="53" t="inlineStr">
        <is>
          <t>GARFIELD</t>
        </is>
      </c>
      <c r="G2872" s="59" t="n"/>
      <c r="X2872" s="61" t="n"/>
      <c r="Y2872" s="61" t="n"/>
    </row>
    <row r="2873" ht="14.25" customHeight="1" s="86">
      <c r="E2873" s="53" t="inlineStr">
        <is>
          <t>UT</t>
        </is>
      </c>
      <c r="F2873" s="53" t="inlineStr">
        <is>
          <t>GRAND</t>
        </is>
      </c>
      <c r="G2873" s="59" t="n"/>
      <c r="X2873" s="61" t="n"/>
      <c r="Y2873" s="61" t="n"/>
    </row>
    <row r="2874" ht="14.25" customHeight="1" s="86">
      <c r="E2874" s="53" t="inlineStr">
        <is>
          <t>UT</t>
        </is>
      </c>
      <c r="F2874" s="53" t="inlineStr">
        <is>
          <t>IRON</t>
        </is>
      </c>
      <c r="G2874" s="59" t="n"/>
      <c r="X2874" s="61" t="n"/>
      <c r="Y2874" s="61" t="n"/>
    </row>
    <row r="2875" ht="14.25" customHeight="1" s="86">
      <c r="E2875" s="53" t="inlineStr">
        <is>
          <t>UT</t>
        </is>
      </c>
      <c r="F2875" s="53" t="inlineStr">
        <is>
          <t>JUAB</t>
        </is>
      </c>
      <c r="G2875" s="59" t="n"/>
      <c r="X2875" s="61" t="n"/>
      <c r="Y2875" s="61" t="n"/>
    </row>
    <row r="2876" ht="14.25" customHeight="1" s="86">
      <c r="E2876" s="53" t="inlineStr">
        <is>
          <t>UT</t>
        </is>
      </c>
      <c r="F2876" s="53" t="inlineStr">
        <is>
          <t>KANE</t>
        </is>
      </c>
      <c r="G2876" s="59" t="n"/>
      <c r="X2876" s="61" t="n"/>
      <c r="Y2876" s="61" t="n"/>
    </row>
    <row r="2877" ht="14.25" customHeight="1" s="86">
      <c r="E2877" s="53" t="inlineStr">
        <is>
          <t>UT</t>
        </is>
      </c>
      <c r="F2877" s="53" t="inlineStr">
        <is>
          <t>MILLARD</t>
        </is>
      </c>
      <c r="G2877" s="59" t="n"/>
      <c r="X2877" s="61" t="n"/>
      <c r="Y2877" s="61" t="n"/>
    </row>
    <row r="2878" ht="14.25" customHeight="1" s="86">
      <c r="E2878" s="53" t="inlineStr">
        <is>
          <t>UT</t>
        </is>
      </c>
      <c r="F2878" s="53" t="inlineStr">
        <is>
          <t>MORGAN</t>
        </is>
      </c>
      <c r="G2878" s="59" t="n"/>
      <c r="X2878" s="61" t="n"/>
      <c r="Y2878" s="61" t="n"/>
    </row>
    <row r="2879" ht="14.25" customHeight="1" s="86">
      <c r="E2879" s="53" t="inlineStr">
        <is>
          <t>UT</t>
        </is>
      </c>
      <c r="F2879" s="53" t="inlineStr">
        <is>
          <t>PIUTE</t>
        </is>
      </c>
      <c r="G2879" s="59" t="n"/>
      <c r="X2879" s="61" t="n"/>
      <c r="Y2879" s="61" t="n"/>
    </row>
    <row r="2880" ht="14.25" customHeight="1" s="86">
      <c r="E2880" s="53" t="inlineStr">
        <is>
          <t>UT</t>
        </is>
      </c>
      <c r="F2880" s="53" t="inlineStr">
        <is>
          <t>RICH</t>
        </is>
      </c>
      <c r="G2880" s="59" t="n"/>
      <c r="X2880" s="61" t="n"/>
      <c r="Y2880" s="61" t="n"/>
    </row>
    <row r="2881" ht="14.25" customHeight="1" s="86">
      <c r="E2881" s="53" t="inlineStr">
        <is>
          <t>UT</t>
        </is>
      </c>
      <c r="F2881" s="53" t="inlineStr">
        <is>
          <t>SALT LAKE</t>
        </is>
      </c>
      <c r="G2881" s="59" t="n"/>
      <c r="X2881" s="61" t="n"/>
      <c r="Y2881" s="61" t="n"/>
    </row>
    <row r="2882" ht="14.25" customHeight="1" s="86">
      <c r="E2882" s="53" t="inlineStr">
        <is>
          <t>UT</t>
        </is>
      </c>
      <c r="F2882" s="53" t="inlineStr">
        <is>
          <t>SAN JUAN</t>
        </is>
      </c>
      <c r="G2882" s="59" t="n"/>
      <c r="X2882" s="61" t="n"/>
      <c r="Y2882" s="61" t="n"/>
    </row>
    <row r="2883" ht="14.25" customHeight="1" s="86">
      <c r="E2883" s="53" t="inlineStr">
        <is>
          <t>UT</t>
        </is>
      </c>
      <c r="F2883" s="53" t="inlineStr">
        <is>
          <t>SANPETE</t>
        </is>
      </c>
      <c r="G2883" s="59" t="n"/>
      <c r="X2883" s="61" t="n"/>
      <c r="Y2883" s="61" t="n"/>
    </row>
    <row r="2884" ht="14.25" customHeight="1" s="86">
      <c r="E2884" s="53" t="inlineStr">
        <is>
          <t>UT</t>
        </is>
      </c>
      <c r="F2884" s="53" t="inlineStr">
        <is>
          <t>SEVIER</t>
        </is>
      </c>
      <c r="G2884" s="59" t="n"/>
      <c r="X2884" s="61" t="n"/>
      <c r="Y2884" s="61" t="n"/>
    </row>
    <row r="2885" ht="14.25" customHeight="1" s="86">
      <c r="E2885" s="53" t="inlineStr">
        <is>
          <t>UT</t>
        </is>
      </c>
      <c r="F2885" s="53" t="inlineStr">
        <is>
          <t>SUMMIT</t>
        </is>
      </c>
      <c r="G2885" s="59" t="n"/>
      <c r="X2885" s="61" t="n"/>
      <c r="Y2885" s="61" t="n"/>
    </row>
    <row r="2886" ht="14.25" customHeight="1" s="86">
      <c r="E2886" s="53" t="inlineStr">
        <is>
          <t>UT</t>
        </is>
      </c>
      <c r="F2886" s="53" t="inlineStr">
        <is>
          <t>TOOELE</t>
        </is>
      </c>
      <c r="G2886" s="59" t="n"/>
      <c r="X2886" s="61" t="n"/>
      <c r="Y2886" s="61" t="n"/>
    </row>
    <row r="2887" ht="14.25" customHeight="1" s="86">
      <c r="E2887" s="53" t="inlineStr">
        <is>
          <t>UT</t>
        </is>
      </c>
      <c r="F2887" s="53" t="inlineStr">
        <is>
          <t>UINTAH</t>
        </is>
      </c>
      <c r="G2887" s="59" t="n"/>
      <c r="X2887" s="61" t="n"/>
      <c r="Y2887" s="61" t="n"/>
    </row>
    <row r="2888" ht="14.25" customHeight="1" s="86">
      <c r="E2888" s="53" t="inlineStr">
        <is>
          <t>UT</t>
        </is>
      </c>
      <c r="F2888" s="53" t="inlineStr">
        <is>
          <t>UTAH</t>
        </is>
      </c>
      <c r="G2888" s="59" t="n"/>
      <c r="X2888" s="61" t="n"/>
      <c r="Y2888" s="61" t="n"/>
    </row>
    <row r="2889" ht="14.25" customHeight="1" s="86">
      <c r="E2889" s="53" t="inlineStr">
        <is>
          <t>UT</t>
        </is>
      </c>
      <c r="F2889" s="53" t="inlineStr">
        <is>
          <t>WASATCH</t>
        </is>
      </c>
      <c r="G2889" s="59" t="n"/>
      <c r="X2889" s="61" t="n"/>
      <c r="Y2889" s="61" t="n"/>
    </row>
    <row r="2890" ht="14.25" customHeight="1" s="86">
      <c r="E2890" s="53" t="inlineStr">
        <is>
          <t>UT</t>
        </is>
      </c>
      <c r="F2890" s="53" t="inlineStr">
        <is>
          <t>WASHINGTON</t>
        </is>
      </c>
      <c r="G2890" s="59" t="n"/>
      <c r="X2890" s="61" t="n"/>
      <c r="Y2890" s="61" t="n"/>
    </row>
    <row r="2891" ht="14.25" customHeight="1" s="86">
      <c r="E2891" s="53" t="inlineStr">
        <is>
          <t>UT</t>
        </is>
      </c>
      <c r="F2891" s="53" t="inlineStr">
        <is>
          <t>WAYNE</t>
        </is>
      </c>
      <c r="G2891" s="59" t="n"/>
      <c r="X2891" s="61" t="n"/>
      <c r="Y2891" s="61" t="n"/>
    </row>
    <row r="2892" ht="14.25" customHeight="1" s="86">
      <c r="E2892" s="53" t="inlineStr">
        <is>
          <t>UT</t>
        </is>
      </c>
      <c r="F2892" s="53" t="inlineStr">
        <is>
          <t>WEBER</t>
        </is>
      </c>
      <c r="G2892" s="59" t="n"/>
      <c r="X2892" s="61" t="n"/>
      <c r="Y2892" s="61" t="n"/>
    </row>
    <row r="2893" ht="14.25" customHeight="1" s="86">
      <c r="E2893" s="53" t="inlineStr">
        <is>
          <t>VA</t>
        </is>
      </c>
      <c r="F2893" s="53" t="inlineStr">
        <is>
          <t>ACCOMACK</t>
        </is>
      </c>
      <c r="G2893" s="59" t="n"/>
      <c r="X2893" s="61" t="n"/>
      <c r="Y2893" s="61" t="n"/>
    </row>
    <row r="2894" ht="14.25" customHeight="1" s="86">
      <c r="E2894" s="53" t="inlineStr">
        <is>
          <t>VA</t>
        </is>
      </c>
      <c r="F2894" s="53" t="inlineStr">
        <is>
          <t>ALBEMARLE</t>
        </is>
      </c>
      <c r="G2894" s="59" t="n"/>
      <c r="X2894" s="61" t="n"/>
      <c r="Y2894" s="61" t="n"/>
    </row>
    <row r="2895" ht="14.25" customHeight="1" s="86">
      <c r="E2895" s="53" t="inlineStr">
        <is>
          <t>VA</t>
        </is>
      </c>
      <c r="F2895" s="53" t="inlineStr">
        <is>
          <t>ALEXANDRIA CITY</t>
        </is>
      </c>
      <c r="G2895" s="59" t="n"/>
      <c r="X2895" s="61" t="n"/>
      <c r="Y2895" s="61" t="n"/>
    </row>
    <row r="2896" ht="14.25" customHeight="1" s="86">
      <c r="E2896" s="53" t="inlineStr">
        <is>
          <t>VA</t>
        </is>
      </c>
      <c r="F2896" s="53" t="inlineStr">
        <is>
          <t>ALLEGHANY</t>
        </is>
      </c>
      <c r="G2896" s="59" t="n"/>
      <c r="X2896" s="61" t="n"/>
      <c r="Y2896" s="61" t="n"/>
    </row>
    <row r="2897" ht="14.25" customHeight="1" s="86">
      <c r="E2897" s="53" t="inlineStr">
        <is>
          <t>VA</t>
        </is>
      </c>
      <c r="F2897" s="53" t="inlineStr">
        <is>
          <t>AMELIA</t>
        </is>
      </c>
      <c r="G2897" s="59" t="n"/>
      <c r="X2897" s="61" t="n"/>
      <c r="Y2897" s="61" t="n"/>
    </row>
    <row r="2898" ht="14.25" customHeight="1" s="86">
      <c r="E2898" s="53" t="inlineStr">
        <is>
          <t>VA</t>
        </is>
      </c>
      <c r="F2898" s="53" t="inlineStr">
        <is>
          <t>AMHERST</t>
        </is>
      </c>
      <c r="G2898" s="59" t="n"/>
      <c r="X2898" s="61" t="n"/>
      <c r="Y2898" s="61" t="n"/>
    </row>
    <row r="2899" ht="14.25" customHeight="1" s="86">
      <c r="E2899" s="53" t="inlineStr">
        <is>
          <t>VA</t>
        </is>
      </c>
      <c r="F2899" s="53" t="inlineStr">
        <is>
          <t>APPOMATTOX</t>
        </is>
      </c>
      <c r="G2899" s="59" t="n"/>
      <c r="X2899" s="61" t="n"/>
      <c r="Y2899" s="61" t="n"/>
    </row>
    <row r="2900" ht="14.25" customHeight="1" s="86">
      <c r="E2900" s="53" t="inlineStr">
        <is>
          <t>VA</t>
        </is>
      </c>
      <c r="F2900" s="53" t="inlineStr">
        <is>
          <t>ARLINGTON</t>
        </is>
      </c>
      <c r="G2900" s="59" t="n"/>
      <c r="X2900" s="61" t="n"/>
      <c r="Y2900" s="61" t="n"/>
    </row>
    <row r="2901" ht="14.25" customHeight="1" s="86">
      <c r="E2901" s="53" t="inlineStr">
        <is>
          <t>VA</t>
        </is>
      </c>
      <c r="F2901" s="53" t="inlineStr">
        <is>
          <t>AUGUSTA</t>
        </is>
      </c>
      <c r="G2901" s="59" t="n"/>
      <c r="X2901" s="61" t="n"/>
      <c r="Y2901" s="61" t="n"/>
    </row>
    <row r="2902" ht="14.25" customHeight="1" s="86">
      <c r="E2902" s="53" t="inlineStr">
        <is>
          <t>VA</t>
        </is>
      </c>
      <c r="F2902" s="53" t="inlineStr">
        <is>
          <t>BATH</t>
        </is>
      </c>
      <c r="G2902" s="59" t="n"/>
      <c r="X2902" s="61" t="n"/>
      <c r="Y2902" s="61" t="n"/>
    </row>
    <row r="2903" ht="14.25" customHeight="1" s="86">
      <c r="E2903" s="53" t="inlineStr">
        <is>
          <t>VA</t>
        </is>
      </c>
      <c r="F2903" s="53" t="inlineStr">
        <is>
          <t>BEDFORD</t>
        </is>
      </c>
      <c r="G2903" s="59" t="n"/>
      <c r="X2903" s="61" t="n"/>
      <c r="Y2903" s="61" t="n"/>
    </row>
    <row r="2904" ht="14.25" customHeight="1" s="86">
      <c r="E2904" s="53" t="inlineStr">
        <is>
          <t>VA</t>
        </is>
      </c>
      <c r="F2904" s="53" t="inlineStr">
        <is>
          <t>BEDFORD CITY</t>
        </is>
      </c>
      <c r="G2904" s="59" t="n"/>
      <c r="X2904" s="61" t="n"/>
      <c r="Y2904" s="61" t="n"/>
    </row>
    <row r="2905" ht="14.25" customHeight="1" s="86">
      <c r="E2905" s="53" t="inlineStr">
        <is>
          <t>VA</t>
        </is>
      </c>
      <c r="F2905" s="53" t="inlineStr">
        <is>
          <t>BLAND</t>
        </is>
      </c>
      <c r="G2905" s="59" t="n"/>
      <c r="X2905" s="61" t="n"/>
      <c r="Y2905" s="61" t="n"/>
    </row>
    <row r="2906" ht="14.25" customHeight="1" s="86">
      <c r="E2906" s="53" t="inlineStr">
        <is>
          <t>VA</t>
        </is>
      </c>
      <c r="F2906" s="53" t="inlineStr">
        <is>
          <t>BOTETOURT</t>
        </is>
      </c>
      <c r="G2906" s="59" t="n"/>
      <c r="X2906" s="61" t="n"/>
      <c r="Y2906" s="61" t="n"/>
    </row>
    <row r="2907" ht="14.25" customHeight="1" s="86">
      <c r="E2907" s="53" t="inlineStr">
        <is>
          <t>VA</t>
        </is>
      </c>
      <c r="F2907" s="53" t="inlineStr">
        <is>
          <t>BRISTOL CITY</t>
        </is>
      </c>
      <c r="G2907" s="59" t="n"/>
      <c r="X2907" s="61" t="n"/>
      <c r="Y2907" s="61" t="n"/>
    </row>
    <row r="2908" ht="14.25" customHeight="1" s="86">
      <c r="E2908" s="53" t="inlineStr">
        <is>
          <t>VA</t>
        </is>
      </c>
      <c r="F2908" s="53" t="inlineStr">
        <is>
          <t>BRUNSWICK</t>
        </is>
      </c>
      <c r="G2908" s="59" t="n"/>
      <c r="X2908" s="61" t="n"/>
      <c r="Y2908" s="61" t="n"/>
    </row>
    <row r="2909" ht="14.25" customHeight="1" s="86">
      <c r="E2909" s="53" t="inlineStr">
        <is>
          <t>VA</t>
        </is>
      </c>
      <c r="F2909" s="53" t="inlineStr">
        <is>
          <t>BUCHANAN</t>
        </is>
      </c>
      <c r="G2909" s="59" t="n"/>
      <c r="X2909" s="61" t="n"/>
      <c r="Y2909" s="61" t="n"/>
    </row>
    <row r="2910" ht="14.25" customHeight="1" s="86">
      <c r="E2910" s="53" t="inlineStr">
        <is>
          <t>VA</t>
        </is>
      </c>
      <c r="F2910" s="53" t="inlineStr">
        <is>
          <t>BUCKINGHAM</t>
        </is>
      </c>
      <c r="G2910" s="59" t="n"/>
      <c r="X2910" s="61" t="n"/>
      <c r="Y2910" s="61" t="n"/>
    </row>
    <row r="2911" ht="14.25" customHeight="1" s="86">
      <c r="E2911" s="53" t="inlineStr">
        <is>
          <t>VA</t>
        </is>
      </c>
      <c r="F2911" s="53" t="inlineStr">
        <is>
          <t>BUENA VISTA CITY</t>
        </is>
      </c>
      <c r="G2911" s="59" t="n"/>
      <c r="X2911" s="61" t="n"/>
      <c r="Y2911" s="61" t="n"/>
    </row>
    <row r="2912" ht="14.25" customHeight="1" s="86">
      <c r="E2912" s="53" t="inlineStr">
        <is>
          <t>VA</t>
        </is>
      </c>
      <c r="F2912" s="53" t="inlineStr">
        <is>
          <t>CAMPBELL</t>
        </is>
      </c>
      <c r="G2912" s="59" t="n"/>
      <c r="X2912" s="61" t="n"/>
      <c r="Y2912" s="61" t="n"/>
    </row>
    <row r="2913" ht="14.25" customHeight="1" s="86">
      <c r="E2913" s="53" t="inlineStr">
        <is>
          <t>VA</t>
        </is>
      </c>
      <c r="F2913" s="53" t="inlineStr">
        <is>
          <t>CAROLINE</t>
        </is>
      </c>
      <c r="G2913" s="59" t="n"/>
      <c r="X2913" s="61" t="n"/>
      <c r="Y2913" s="61" t="n"/>
    </row>
    <row r="2914" ht="14.25" customHeight="1" s="86">
      <c r="E2914" s="53" t="inlineStr">
        <is>
          <t>VA</t>
        </is>
      </c>
      <c r="F2914" s="53" t="inlineStr">
        <is>
          <t>CARROLL</t>
        </is>
      </c>
      <c r="G2914" s="59" t="n"/>
      <c r="X2914" s="61" t="n"/>
      <c r="Y2914" s="61" t="n"/>
    </row>
    <row r="2915" ht="14.25" customHeight="1" s="86">
      <c r="E2915" s="53" t="inlineStr">
        <is>
          <t>VA</t>
        </is>
      </c>
      <c r="F2915" s="53" t="inlineStr">
        <is>
          <t>CHARLES CITY</t>
        </is>
      </c>
      <c r="G2915" s="59" t="n"/>
      <c r="X2915" s="61" t="n"/>
      <c r="Y2915" s="61" t="n"/>
    </row>
    <row r="2916" ht="14.25" customHeight="1" s="86">
      <c r="E2916" s="53" t="inlineStr">
        <is>
          <t>VA</t>
        </is>
      </c>
      <c r="F2916" s="53" t="inlineStr">
        <is>
          <t>CHARLOTTE</t>
        </is>
      </c>
      <c r="G2916" s="59" t="n"/>
      <c r="X2916" s="61" t="n"/>
      <c r="Y2916" s="61" t="n"/>
    </row>
    <row r="2917" ht="14.25" customHeight="1" s="86">
      <c r="E2917" s="53" t="inlineStr">
        <is>
          <t>VA</t>
        </is>
      </c>
      <c r="F2917" s="53" t="inlineStr">
        <is>
          <t>CHARLOTTESVILLE CITY</t>
        </is>
      </c>
      <c r="G2917" s="59" t="n"/>
      <c r="X2917" s="61" t="n"/>
      <c r="Y2917" s="61" t="n"/>
    </row>
    <row r="2918" ht="14.25" customHeight="1" s="86">
      <c r="E2918" s="53" t="inlineStr">
        <is>
          <t>VA</t>
        </is>
      </c>
      <c r="F2918" s="53" t="inlineStr">
        <is>
          <t>CHESAPEAKE CITY</t>
        </is>
      </c>
      <c r="G2918" s="59" t="n"/>
      <c r="X2918" s="61" t="n"/>
      <c r="Y2918" s="61" t="n"/>
    </row>
    <row r="2919" ht="14.25" customHeight="1" s="86">
      <c r="E2919" s="53" t="inlineStr">
        <is>
          <t>VA</t>
        </is>
      </c>
      <c r="F2919" s="53" t="inlineStr">
        <is>
          <t>CHESTERFIELD</t>
        </is>
      </c>
      <c r="G2919" s="59" t="n"/>
      <c r="X2919" s="61" t="n"/>
      <c r="Y2919" s="61" t="n"/>
    </row>
    <row r="2920" ht="14.25" customHeight="1" s="86">
      <c r="E2920" s="53" t="inlineStr">
        <is>
          <t>VA</t>
        </is>
      </c>
      <c r="F2920" s="53" t="inlineStr">
        <is>
          <t>CLARKE</t>
        </is>
      </c>
      <c r="G2920" s="59" t="n"/>
      <c r="X2920" s="61" t="n"/>
      <c r="Y2920" s="61" t="n"/>
    </row>
    <row r="2921" ht="14.25" customHeight="1" s="86">
      <c r="E2921" s="53" t="inlineStr">
        <is>
          <t>VA</t>
        </is>
      </c>
      <c r="F2921" s="53" t="inlineStr">
        <is>
          <t>COLONIAL HEIGHTS CITY</t>
        </is>
      </c>
      <c r="G2921" s="59" t="n"/>
      <c r="X2921" s="61" t="n"/>
      <c r="Y2921" s="61" t="n"/>
    </row>
    <row r="2922" ht="14.25" customHeight="1" s="86">
      <c r="E2922" s="53" t="inlineStr">
        <is>
          <t>VA</t>
        </is>
      </c>
      <c r="F2922" s="53" t="inlineStr">
        <is>
          <t>COVINGTON CITY</t>
        </is>
      </c>
      <c r="G2922" s="59" t="n"/>
      <c r="X2922" s="61" t="n"/>
      <c r="Y2922" s="61" t="n"/>
    </row>
    <row r="2923" ht="14.25" customHeight="1" s="86">
      <c r="E2923" s="53" t="inlineStr">
        <is>
          <t>VA</t>
        </is>
      </c>
      <c r="F2923" s="53" t="inlineStr">
        <is>
          <t>CRAIG</t>
        </is>
      </c>
      <c r="G2923" s="59" t="n"/>
      <c r="X2923" s="61" t="n"/>
      <c r="Y2923" s="61" t="n"/>
    </row>
    <row r="2924" ht="14.25" customHeight="1" s="86">
      <c r="E2924" s="53" t="inlineStr">
        <is>
          <t>VA</t>
        </is>
      </c>
      <c r="F2924" s="53" t="inlineStr">
        <is>
          <t>CULPEPER</t>
        </is>
      </c>
      <c r="G2924" s="59" t="n"/>
      <c r="X2924" s="61" t="n"/>
      <c r="Y2924" s="61" t="n"/>
    </row>
    <row r="2925" ht="14.25" customHeight="1" s="86">
      <c r="E2925" s="53" t="inlineStr">
        <is>
          <t>VA</t>
        </is>
      </c>
      <c r="F2925" s="53" t="inlineStr">
        <is>
          <t>CUMBERLAND</t>
        </is>
      </c>
      <c r="G2925" s="59" t="n"/>
      <c r="X2925" s="61" t="n"/>
      <c r="Y2925" s="61" t="n"/>
    </row>
    <row r="2926" ht="14.25" customHeight="1" s="86">
      <c r="E2926" s="53" t="inlineStr">
        <is>
          <t>VA</t>
        </is>
      </c>
      <c r="F2926" s="53" t="inlineStr">
        <is>
          <t>DANVILLE CITY</t>
        </is>
      </c>
      <c r="G2926" s="59" t="n"/>
      <c r="X2926" s="61" t="n"/>
      <c r="Y2926" s="61" t="n"/>
    </row>
    <row r="2927" ht="14.25" customHeight="1" s="86">
      <c r="E2927" s="53" t="inlineStr">
        <is>
          <t>VA</t>
        </is>
      </c>
      <c r="F2927" s="53" t="inlineStr">
        <is>
          <t>DICKENSON</t>
        </is>
      </c>
      <c r="G2927" s="59" t="n"/>
      <c r="X2927" s="61" t="n"/>
      <c r="Y2927" s="61" t="n"/>
    </row>
    <row r="2928" ht="14.25" customHeight="1" s="86">
      <c r="E2928" s="53" t="inlineStr">
        <is>
          <t>VA</t>
        </is>
      </c>
      <c r="F2928" s="53" t="inlineStr">
        <is>
          <t>DINWIDDIE</t>
        </is>
      </c>
      <c r="G2928" s="59" t="n"/>
      <c r="X2928" s="61" t="n"/>
      <c r="Y2928" s="61" t="n"/>
    </row>
    <row r="2929" ht="14.25" customHeight="1" s="86">
      <c r="E2929" s="53" t="inlineStr">
        <is>
          <t>VA</t>
        </is>
      </c>
      <c r="F2929" s="53" t="inlineStr">
        <is>
          <t>EMPORIA CITY</t>
        </is>
      </c>
      <c r="G2929" s="59" t="n"/>
      <c r="X2929" s="61" t="n"/>
      <c r="Y2929" s="61" t="n"/>
    </row>
    <row r="2930" ht="14.25" customHeight="1" s="86">
      <c r="E2930" s="53" t="inlineStr">
        <is>
          <t>VA</t>
        </is>
      </c>
      <c r="F2930" s="53" t="inlineStr">
        <is>
          <t>ESSEX</t>
        </is>
      </c>
      <c r="G2930" s="59" t="n"/>
      <c r="X2930" s="61" t="n"/>
      <c r="Y2930" s="61" t="n"/>
    </row>
    <row r="2931" ht="14.25" customHeight="1" s="86">
      <c r="E2931" s="53" t="inlineStr">
        <is>
          <t>VA</t>
        </is>
      </c>
      <c r="F2931" s="53" t="inlineStr">
        <is>
          <t>FAIRFAX</t>
        </is>
      </c>
      <c r="G2931" s="59" t="n"/>
      <c r="X2931" s="61" t="n"/>
      <c r="Y2931" s="61" t="n"/>
    </row>
    <row r="2932" ht="14.25" customHeight="1" s="86">
      <c r="E2932" s="53" t="inlineStr">
        <is>
          <t>VA</t>
        </is>
      </c>
      <c r="F2932" s="53" t="inlineStr">
        <is>
          <t>FAIRFAX CITY</t>
        </is>
      </c>
      <c r="G2932" s="59" t="n"/>
      <c r="X2932" s="61" t="n"/>
      <c r="Y2932" s="61" t="n"/>
    </row>
    <row r="2933" ht="14.25" customHeight="1" s="86">
      <c r="E2933" s="53" t="inlineStr">
        <is>
          <t>VA</t>
        </is>
      </c>
      <c r="F2933" s="53" t="inlineStr">
        <is>
          <t>FALLS CHURCH CITY</t>
        </is>
      </c>
      <c r="G2933" s="59" t="n"/>
      <c r="X2933" s="61" t="n"/>
      <c r="Y2933" s="61" t="n"/>
    </row>
    <row r="2934" ht="14.25" customHeight="1" s="86">
      <c r="E2934" s="53" t="inlineStr">
        <is>
          <t>VA</t>
        </is>
      </c>
      <c r="F2934" s="53" t="inlineStr">
        <is>
          <t>FAUQUIER</t>
        </is>
      </c>
      <c r="G2934" s="59" t="n"/>
      <c r="X2934" s="61" t="n"/>
      <c r="Y2934" s="61" t="n"/>
    </row>
    <row r="2935" ht="14.25" customHeight="1" s="86">
      <c r="E2935" s="53" t="inlineStr">
        <is>
          <t>VA</t>
        </is>
      </c>
      <c r="F2935" s="53" t="inlineStr">
        <is>
          <t>FLOYD</t>
        </is>
      </c>
      <c r="G2935" s="59" t="n"/>
      <c r="X2935" s="61" t="n"/>
      <c r="Y2935" s="61" t="n"/>
    </row>
    <row r="2936" ht="14.25" customHeight="1" s="86">
      <c r="E2936" s="53" t="inlineStr">
        <is>
          <t>VA</t>
        </is>
      </c>
      <c r="F2936" s="53" t="inlineStr">
        <is>
          <t>FLUVANNA</t>
        </is>
      </c>
      <c r="G2936" s="59" t="n"/>
      <c r="X2936" s="61" t="n"/>
      <c r="Y2936" s="61" t="n"/>
    </row>
    <row r="2937" ht="14.25" customHeight="1" s="86">
      <c r="E2937" s="53" t="inlineStr">
        <is>
          <t>VA</t>
        </is>
      </c>
      <c r="F2937" s="53" t="inlineStr">
        <is>
          <t>FRANKLIN</t>
        </is>
      </c>
      <c r="G2937" s="59" t="n"/>
      <c r="X2937" s="61" t="n"/>
      <c r="Y2937" s="61" t="n"/>
    </row>
    <row r="2938" ht="14.25" customHeight="1" s="86">
      <c r="E2938" s="53" t="inlineStr">
        <is>
          <t>VA</t>
        </is>
      </c>
      <c r="F2938" s="53" t="inlineStr">
        <is>
          <t>FRANKLIN CITY</t>
        </is>
      </c>
      <c r="G2938" s="59" t="n"/>
      <c r="X2938" s="61" t="n"/>
      <c r="Y2938" s="61" t="n"/>
    </row>
    <row r="2939" ht="14.25" customHeight="1" s="86">
      <c r="E2939" s="53" t="inlineStr">
        <is>
          <t>VA</t>
        </is>
      </c>
      <c r="F2939" s="53" t="inlineStr">
        <is>
          <t>FREDERICK</t>
        </is>
      </c>
      <c r="G2939" s="59" t="n"/>
      <c r="X2939" s="61" t="n"/>
      <c r="Y2939" s="61" t="n"/>
    </row>
    <row r="2940" ht="14.25" customHeight="1" s="86">
      <c r="E2940" s="53" t="inlineStr">
        <is>
          <t>VA</t>
        </is>
      </c>
      <c r="F2940" s="53" t="inlineStr">
        <is>
          <t>FREDERICKSBURG CITY</t>
        </is>
      </c>
      <c r="G2940" s="59" t="n"/>
      <c r="X2940" s="61" t="n"/>
      <c r="Y2940" s="61" t="n"/>
    </row>
    <row r="2941" ht="14.25" customHeight="1" s="86">
      <c r="E2941" s="53" t="inlineStr">
        <is>
          <t>VA</t>
        </is>
      </c>
      <c r="F2941" s="53" t="inlineStr">
        <is>
          <t>GALAX CITY</t>
        </is>
      </c>
      <c r="G2941" s="59" t="n"/>
      <c r="X2941" s="61" t="n"/>
      <c r="Y2941" s="61" t="n"/>
    </row>
    <row r="2942" ht="14.25" customHeight="1" s="86">
      <c r="E2942" s="53" t="inlineStr">
        <is>
          <t>VA</t>
        </is>
      </c>
      <c r="F2942" s="53" t="inlineStr">
        <is>
          <t>GILES</t>
        </is>
      </c>
      <c r="G2942" s="59" t="n"/>
      <c r="X2942" s="61" t="n"/>
      <c r="Y2942" s="61" t="n"/>
    </row>
    <row r="2943" ht="14.25" customHeight="1" s="86">
      <c r="E2943" s="53" t="inlineStr">
        <is>
          <t>VA</t>
        </is>
      </c>
      <c r="F2943" s="53" t="inlineStr">
        <is>
          <t>GLOUCESTER</t>
        </is>
      </c>
      <c r="G2943" s="59" t="n"/>
      <c r="X2943" s="61" t="n"/>
      <c r="Y2943" s="61" t="n"/>
    </row>
    <row r="2944" ht="14.25" customHeight="1" s="86">
      <c r="E2944" s="53" t="inlineStr">
        <is>
          <t>VA</t>
        </is>
      </c>
      <c r="F2944" s="53" t="inlineStr">
        <is>
          <t>GOOCHLAND</t>
        </is>
      </c>
      <c r="G2944" s="59" t="n"/>
      <c r="X2944" s="61" t="n"/>
      <c r="Y2944" s="61" t="n"/>
    </row>
    <row r="2945" ht="14.25" customHeight="1" s="86">
      <c r="E2945" s="53" t="inlineStr">
        <is>
          <t>VA</t>
        </is>
      </c>
      <c r="F2945" s="53" t="inlineStr">
        <is>
          <t>GRAYSON</t>
        </is>
      </c>
      <c r="G2945" s="59" t="n"/>
      <c r="X2945" s="61" t="n"/>
      <c r="Y2945" s="61" t="n"/>
    </row>
    <row r="2946" ht="14.25" customHeight="1" s="86">
      <c r="E2946" s="53" t="inlineStr">
        <is>
          <t>VA</t>
        </is>
      </c>
      <c r="F2946" s="53" t="inlineStr">
        <is>
          <t>GREENE</t>
        </is>
      </c>
      <c r="G2946" s="59" t="n"/>
      <c r="X2946" s="61" t="n"/>
      <c r="Y2946" s="61" t="n"/>
    </row>
    <row r="2947" ht="14.25" customHeight="1" s="86">
      <c r="E2947" s="53" t="inlineStr">
        <is>
          <t>VA</t>
        </is>
      </c>
      <c r="F2947" s="53" t="inlineStr">
        <is>
          <t>GREENSVILLE</t>
        </is>
      </c>
      <c r="G2947" s="59" t="n"/>
      <c r="X2947" s="61" t="n"/>
      <c r="Y2947" s="61" t="n"/>
    </row>
    <row r="2948" ht="14.25" customHeight="1" s="86">
      <c r="E2948" s="53" t="inlineStr">
        <is>
          <t>VA</t>
        </is>
      </c>
      <c r="F2948" s="53" t="inlineStr">
        <is>
          <t>HALIFAX</t>
        </is>
      </c>
      <c r="G2948" s="59" t="n"/>
      <c r="X2948" s="61" t="n"/>
      <c r="Y2948" s="61" t="n"/>
    </row>
    <row r="2949" ht="14.25" customHeight="1" s="86">
      <c r="E2949" s="53" t="inlineStr">
        <is>
          <t>VA</t>
        </is>
      </c>
      <c r="F2949" s="53" t="inlineStr">
        <is>
          <t>HAMPTON CITY</t>
        </is>
      </c>
      <c r="G2949" s="59" t="n"/>
      <c r="X2949" s="61" t="n"/>
      <c r="Y2949" s="61" t="n"/>
    </row>
    <row r="2950" ht="14.25" customHeight="1" s="86">
      <c r="E2950" s="53" t="inlineStr">
        <is>
          <t>VA</t>
        </is>
      </c>
      <c r="F2950" s="53" t="inlineStr">
        <is>
          <t>HANOVER</t>
        </is>
      </c>
      <c r="G2950" s="59" t="n"/>
      <c r="X2950" s="61" t="n"/>
      <c r="Y2950" s="61" t="n"/>
    </row>
    <row r="2951" ht="14.25" customHeight="1" s="86">
      <c r="E2951" s="53" t="inlineStr">
        <is>
          <t>VA</t>
        </is>
      </c>
      <c r="F2951" s="53" t="inlineStr">
        <is>
          <t>HARRISONBURG CITY</t>
        </is>
      </c>
      <c r="G2951" s="59" t="n"/>
      <c r="X2951" s="61" t="n"/>
      <c r="Y2951" s="61" t="n"/>
    </row>
    <row r="2952" ht="14.25" customHeight="1" s="86">
      <c r="E2952" s="53" t="inlineStr">
        <is>
          <t>VA</t>
        </is>
      </c>
      <c r="F2952" s="53" t="inlineStr">
        <is>
          <t>HENRICO</t>
        </is>
      </c>
      <c r="G2952" s="59" t="n"/>
      <c r="X2952" s="61" t="n"/>
      <c r="Y2952" s="61" t="n"/>
    </row>
    <row r="2953" ht="14.25" customHeight="1" s="86">
      <c r="E2953" s="53" t="inlineStr">
        <is>
          <t>VA</t>
        </is>
      </c>
      <c r="F2953" s="53" t="inlineStr">
        <is>
          <t>HENRY</t>
        </is>
      </c>
      <c r="G2953" s="59" t="n"/>
      <c r="X2953" s="61" t="n"/>
      <c r="Y2953" s="61" t="n"/>
    </row>
    <row r="2954" ht="14.25" customHeight="1" s="86">
      <c r="E2954" s="53" t="inlineStr">
        <is>
          <t>VA</t>
        </is>
      </c>
      <c r="F2954" s="53" t="inlineStr">
        <is>
          <t>HIGHLAND</t>
        </is>
      </c>
      <c r="G2954" s="59" t="n"/>
      <c r="X2954" s="61" t="n"/>
      <c r="Y2954" s="61" t="n"/>
    </row>
    <row r="2955" ht="14.25" customHeight="1" s="86">
      <c r="E2955" s="53" t="inlineStr">
        <is>
          <t>VA</t>
        </is>
      </c>
      <c r="F2955" s="53" t="inlineStr">
        <is>
          <t>HOPEWELL CITY</t>
        </is>
      </c>
      <c r="G2955" s="59" t="n"/>
      <c r="X2955" s="61" t="n"/>
      <c r="Y2955" s="61" t="n"/>
    </row>
    <row r="2956" ht="14.25" customHeight="1" s="86">
      <c r="E2956" s="53" t="inlineStr">
        <is>
          <t>VA</t>
        </is>
      </c>
      <c r="F2956" s="53" t="inlineStr">
        <is>
          <t>ISLE OF WIGHT</t>
        </is>
      </c>
      <c r="G2956" s="59" t="n"/>
      <c r="X2956" s="61" t="n"/>
      <c r="Y2956" s="61" t="n"/>
    </row>
    <row r="2957" ht="14.25" customHeight="1" s="86">
      <c r="E2957" s="53" t="inlineStr">
        <is>
          <t>VA</t>
        </is>
      </c>
      <c r="F2957" s="53" t="inlineStr">
        <is>
          <t>JAMES CITY</t>
        </is>
      </c>
      <c r="G2957" s="59" t="n"/>
      <c r="X2957" s="61" t="n"/>
      <c r="Y2957" s="61" t="n"/>
    </row>
    <row r="2958" ht="14.25" customHeight="1" s="86">
      <c r="E2958" s="53" t="inlineStr">
        <is>
          <t>VA</t>
        </is>
      </c>
      <c r="F2958" s="53" t="inlineStr">
        <is>
          <t>KING AND QUEEN</t>
        </is>
      </c>
      <c r="G2958" s="59" t="n"/>
      <c r="X2958" s="61" t="n"/>
      <c r="Y2958" s="61" t="n"/>
    </row>
    <row r="2959" ht="14.25" customHeight="1" s="86">
      <c r="E2959" s="53" t="inlineStr">
        <is>
          <t>VA</t>
        </is>
      </c>
      <c r="F2959" s="53" t="inlineStr">
        <is>
          <t>KING GEORGE</t>
        </is>
      </c>
      <c r="G2959" s="59" t="n"/>
      <c r="X2959" s="61" t="n"/>
      <c r="Y2959" s="61" t="n"/>
    </row>
    <row r="2960" ht="14.25" customHeight="1" s="86">
      <c r="E2960" s="53" t="inlineStr">
        <is>
          <t>VA</t>
        </is>
      </c>
      <c r="F2960" s="53" t="inlineStr">
        <is>
          <t>KING WILLIAM</t>
        </is>
      </c>
      <c r="G2960" s="59" t="n"/>
      <c r="X2960" s="61" t="n"/>
      <c r="Y2960" s="61" t="n"/>
    </row>
    <row r="2961" ht="14.25" customHeight="1" s="86">
      <c r="E2961" s="53" t="inlineStr">
        <is>
          <t>VA</t>
        </is>
      </c>
      <c r="F2961" s="53" t="inlineStr">
        <is>
          <t>LANCASTER</t>
        </is>
      </c>
      <c r="G2961" s="59" t="n"/>
      <c r="X2961" s="61" t="n"/>
      <c r="Y2961" s="61" t="n"/>
    </row>
    <row r="2962" ht="14.25" customHeight="1" s="86">
      <c r="E2962" s="53" t="inlineStr">
        <is>
          <t>VA</t>
        </is>
      </c>
      <c r="F2962" s="53" t="inlineStr">
        <is>
          <t>LEE</t>
        </is>
      </c>
      <c r="G2962" s="59" t="n"/>
      <c r="X2962" s="61" t="n"/>
      <c r="Y2962" s="61" t="n"/>
    </row>
    <row r="2963" ht="14.25" customHeight="1" s="86">
      <c r="E2963" s="53" t="inlineStr">
        <is>
          <t>VA</t>
        </is>
      </c>
      <c r="F2963" s="53" t="inlineStr">
        <is>
          <t>LEXINGTON CITY</t>
        </is>
      </c>
      <c r="G2963" s="59" t="n"/>
      <c r="X2963" s="61" t="n"/>
      <c r="Y2963" s="61" t="n"/>
    </row>
    <row r="2964" ht="14.25" customHeight="1" s="86">
      <c r="E2964" s="53" t="inlineStr">
        <is>
          <t>VA</t>
        </is>
      </c>
      <c r="F2964" s="53" t="inlineStr">
        <is>
          <t>LOUDOUN</t>
        </is>
      </c>
      <c r="G2964" s="59" t="n"/>
      <c r="X2964" s="61" t="n"/>
      <c r="Y2964" s="61" t="n"/>
    </row>
    <row r="2965" ht="14.25" customHeight="1" s="86">
      <c r="E2965" s="53" t="inlineStr">
        <is>
          <t>VA</t>
        </is>
      </c>
      <c r="F2965" s="53" t="inlineStr">
        <is>
          <t>LOUISA</t>
        </is>
      </c>
      <c r="G2965" s="59" t="n"/>
      <c r="X2965" s="61" t="n"/>
      <c r="Y2965" s="61" t="n"/>
    </row>
    <row r="2966" ht="14.25" customHeight="1" s="86">
      <c r="E2966" s="53" t="inlineStr">
        <is>
          <t>VA</t>
        </is>
      </c>
      <c r="F2966" s="53" t="inlineStr">
        <is>
          <t>LUNENBURG</t>
        </is>
      </c>
      <c r="G2966" s="59" t="n"/>
      <c r="X2966" s="61" t="n"/>
      <c r="Y2966" s="61" t="n"/>
    </row>
    <row r="2967" ht="14.25" customHeight="1" s="86">
      <c r="E2967" s="53" t="inlineStr">
        <is>
          <t>VA</t>
        </is>
      </c>
      <c r="F2967" s="53" t="inlineStr">
        <is>
          <t>LYNCHBURG CITY</t>
        </is>
      </c>
      <c r="G2967" s="59" t="n"/>
      <c r="X2967" s="61" t="n"/>
      <c r="Y2967" s="61" t="n"/>
    </row>
    <row r="2968" ht="14.25" customHeight="1" s="86">
      <c r="E2968" s="53" t="inlineStr">
        <is>
          <t>VA</t>
        </is>
      </c>
      <c r="F2968" s="53" t="inlineStr">
        <is>
          <t>MADISON</t>
        </is>
      </c>
      <c r="G2968" s="59" t="n"/>
      <c r="X2968" s="61" t="n"/>
      <c r="Y2968" s="61" t="n"/>
    </row>
    <row r="2969" ht="14.25" customHeight="1" s="86">
      <c r="E2969" s="53" t="inlineStr">
        <is>
          <t>VA</t>
        </is>
      </c>
      <c r="F2969" s="53" t="inlineStr">
        <is>
          <t>MANASSAS CITY</t>
        </is>
      </c>
      <c r="G2969" s="59" t="n"/>
      <c r="X2969" s="61" t="n"/>
      <c r="Y2969" s="61" t="n"/>
    </row>
    <row r="2970" ht="14.25" customHeight="1" s="86">
      <c r="E2970" s="53" t="inlineStr">
        <is>
          <t>VA</t>
        </is>
      </c>
      <c r="F2970" s="53" t="inlineStr">
        <is>
          <t>MANASSAS PARK CITY</t>
        </is>
      </c>
      <c r="G2970" s="59" t="n"/>
      <c r="X2970" s="61" t="n"/>
      <c r="Y2970" s="61" t="n"/>
    </row>
    <row r="2971" ht="14.25" customHeight="1" s="86">
      <c r="E2971" s="53" t="inlineStr">
        <is>
          <t>VA</t>
        </is>
      </c>
      <c r="F2971" s="53" t="inlineStr">
        <is>
          <t>MARTINSVILLE CITY</t>
        </is>
      </c>
      <c r="G2971" s="59" t="n"/>
      <c r="X2971" s="61" t="n"/>
      <c r="Y2971" s="61" t="n"/>
    </row>
    <row r="2972" ht="14.25" customHeight="1" s="86">
      <c r="E2972" s="53" t="inlineStr">
        <is>
          <t>VA</t>
        </is>
      </c>
      <c r="F2972" s="53" t="inlineStr">
        <is>
          <t>MATHEWS</t>
        </is>
      </c>
      <c r="G2972" s="59" t="n"/>
      <c r="X2972" s="61" t="n"/>
      <c r="Y2972" s="61" t="n"/>
    </row>
    <row r="2973" ht="14.25" customHeight="1" s="86">
      <c r="E2973" s="53" t="inlineStr">
        <is>
          <t>VA</t>
        </is>
      </c>
      <c r="F2973" s="53" t="inlineStr">
        <is>
          <t>MECKLENBURG</t>
        </is>
      </c>
      <c r="G2973" s="59" t="n"/>
      <c r="X2973" s="61" t="n"/>
      <c r="Y2973" s="61" t="n"/>
    </row>
    <row r="2974" ht="14.25" customHeight="1" s="86">
      <c r="E2974" s="53" t="inlineStr">
        <is>
          <t>VA</t>
        </is>
      </c>
      <c r="F2974" s="53" t="inlineStr">
        <is>
          <t>MIDDLESEX</t>
        </is>
      </c>
      <c r="G2974" s="59" t="n"/>
      <c r="X2974" s="61" t="n"/>
      <c r="Y2974" s="61" t="n"/>
    </row>
    <row r="2975" ht="14.25" customHeight="1" s="86">
      <c r="E2975" s="53" t="inlineStr">
        <is>
          <t>VA</t>
        </is>
      </c>
      <c r="F2975" s="53" t="inlineStr">
        <is>
          <t>MONTGOMERY</t>
        </is>
      </c>
      <c r="G2975" s="59" t="n"/>
      <c r="X2975" s="61" t="n"/>
      <c r="Y2975" s="61" t="n"/>
    </row>
    <row r="2976" ht="14.25" customHeight="1" s="86">
      <c r="E2976" s="53" t="inlineStr">
        <is>
          <t>VA</t>
        </is>
      </c>
      <c r="F2976" s="53" t="inlineStr">
        <is>
          <t>NELSON</t>
        </is>
      </c>
      <c r="G2976" s="59" t="n"/>
      <c r="X2976" s="61" t="n"/>
      <c r="Y2976" s="61" t="n"/>
    </row>
    <row r="2977" ht="14.25" customHeight="1" s="86">
      <c r="E2977" s="53" t="inlineStr">
        <is>
          <t>VA</t>
        </is>
      </c>
      <c r="F2977" s="53" t="inlineStr">
        <is>
          <t>NEW KENT</t>
        </is>
      </c>
      <c r="G2977" s="59" t="n"/>
      <c r="X2977" s="61" t="n"/>
      <c r="Y2977" s="61" t="n"/>
    </row>
    <row r="2978" ht="14.25" customHeight="1" s="86">
      <c r="E2978" s="53" t="inlineStr">
        <is>
          <t>VA</t>
        </is>
      </c>
      <c r="F2978" s="53" t="inlineStr">
        <is>
          <t>NEWPORT NEWS CITY</t>
        </is>
      </c>
      <c r="G2978" s="59" t="n"/>
      <c r="X2978" s="61" t="n"/>
      <c r="Y2978" s="61" t="n"/>
    </row>
    <row r="2979" ht="14.25" customHeight="1" s="86">
      <c r="E2979" s="53" t="inlineStr">
        <is>
          <t>VA</t>
        </is>
      </c>
      <c r="F2979" s="53" t="inlineStr">
        <is>
          <t>NORFOLK CITY</t>
        </is>
      </c>
      <c r="G2979" s="59" t="n"/>
      <c r="X2979" s="61" t="n"/>
      <c r="Y2979" s="61" t="n"/>
    </row>
    <row r="2980" ht="14.25" customHeight="1" s="86">
      <c r="E2980" s="53" t="inlineStr">
        <is>
          <t>VA</t>
        </is>
      </c>
      <c r="F2980" s="53" t="inlineStr">
        <is>
          <t>NORTHAMPTON</t>
        </is>
      </c>
      <c r="G2980" s="59" t="n"/>
      <c r="X2980" s="61" t="n"/>
      <c r="Y2980" s="61" t="n"/>
    </row>
    <row r="2981" ht="14.25" customHeight="1" s="86">
      <c r="E2981" s="53" t="inlineStr">
        <is>
          <t>VA</t>
        </is>
      </c>
      <c r="F2981" s="53" t="inlineStr">
        <is>
          <t>NORTHUMBERLAND</t>
        </is>
      </c>
      <c r="G2981" s="59" t="n"/>
      <c r="X2981" s="61" t="n"/>
      <c r="Y2981" s="61" t="n"/>
    </row>
    <row r="2982" ht="14.25" customHeight="1" s="86">
      <c r="E2982" s="53" t="inlineStr">
        <is>
          <t>VA</t>
        </is>
      </c>
      <c r="F2982" s="53" t="inlineStr">
        <is>
          <t>NORTON CITY</t>
        </is>
      </c>
      <c r="G2982" s="59" t="n"/>
      <c r="X2982" s="61" t="n"/>
      <c r="Y2982" s="61" t="n"/>
    </row>
    <row r="2983" ht="14.25" customHeight="1" s="86">
      <c r="E2983" s="53" t="inlineStr">
        <is>
          <t>VA</t>
        </is>
      </c>
      <c r="F2983" s="53" t="inlineStr">
        <is>
          <t>NOTTOWAY</t>
        </is>
      </c>
      <c r="G2983" s="59" t="n"/>
      <c r="X2983" s="61" t="n"/>
      <c r="Y2983" s="61" t="n"/>
    </row>
    <row r="2984" ht="14.25" customHeight="1" s="86">
      <c r="E2984" s="53" t="inlineStr">
        <is>
          <t>VA</t>
        </is>
      </c>
      <c r="F2984" s="53" t="inlineStr">
        <is>
          <t>ORANGE</t>
        </is>
      </c>
      <c r="G2984" s="59" t="n"/>
      <c r="X2984" s="61" t="n"/>
      <c r="Y2984" s="61" t="n"/>
    </row>
    <row r="2985" ht="14.25" customHeight="1" s="86">
      <c r="E2985" s="53" t="inlineStr">
        <is>
          <t>VA</t>
        </is>
      </c>
      <c r="F2985" s="53" t="inlineStr">
        <is>
          <t>PAGE</t>
        </is>
      </c>
      <c r="G2985" s="59" t="n"/>
      <c r="X2985" s="61" t="n"/>
      <c r="Y2985" s="61" t="n"/>
    </row>
    <row r="2986" ht="14.25" customHeight="1" s="86">
      <c r="E2986" s="53" t="inlineStr">
        <is>
          <t>VA</t>
        </is>
      </c>
      <c r="F2986" s="53" t="inlineStr">
        <is>
          <t>PATRICK</t>
        </is>
      </c>
      <c r="G2986" s="59" t="n"/>
      <c r="X2986" s="61" t="n"/>
      <c r="Y2986" s="61" t="n"/>
    </row>
    <row r="2987" ht="14.25" customHeight="1" s="86">
      <c r="E2987" s="53" t="inlineStr">
        <is>
          <t>VA</t>
        </is>
      </c>
      <c r="F2987" s="53" t="inlineStr">
        <is>
          <t>PETERSBURG CITY</t>
        </is>
      </c>
      <c r="G2987" s="59" t="n"/>
      <c r="X2987" s="61" t="n"/>
      <c r="Y2987" s="61" t="n"/>
    </row>
    <row r="2988" ht="14.25" customHeight="1" s="86">
      <c r="E2988" s="53" t="inlineStr">
        <is>
          <t>VA</t>
        </is>
      </c>
      <c r="F2988" s="53" t="inlineStr">
        <is>
          <t>PITTSYLVANIA</t>
        </is>
      </c>
      <c r="G2988" s="59" t="n"/>
      <c r="X2988" s="61" t="n"/>
      <c r="Y2988" s="61" t="n"/>
    </row>
    <row r="2989" ht="14.25" customHeight="1" s="86">
      <c r="E2989" s="53" t="inlineStr">
        <is>
          <t>VA</t>
        </is>
      </c>
      <c r="F2989" s="53" t="inlineStr">
        <is>
          <t>POQUOSON CITY</t>
        </is>
      </c>
      <c r="G2989" s="59" t="n"/>
      <c r="X2989" s="61" t="n"/>
      <c r="Y2989" s="61" t="n"/>
    </row>
    <row r="2990" ht="14.25" customHeight="1" s="86">
      <c r="E2990" s="53" t="inlineStr">
        <is>
          <t>VA</t>
        </is>
      </c>
      <c r="F2990" s="53" t="inlineStr">
        <is>
          <t>PORTSMOUTH CITY</t>
        </is>
      </c>
      <c r="G2990" s="59" t="n"/>
      <c r="X2990" s="61" t="n"/>
      <c r="Y2990" s="61" t="n"/>
    </row>
    <row r="2991" ht="14.25" customHeight="1" s="86">
      <c r="E2991" s="53" t="inlineStr">
        <is>
          <t>VA</t>
        </is>
      </c>
      <c r="F2991" s="53" t="inlineStr">
        <is>
          <t>POWHATAN</t>
        </is>
      </c>
      <c r="G2991" s="59" t="n"/>
      <c r="X2991" s="61" t="n"/>
      <c r="Y2991" s="61" t="n"/>
    </row>
    <row r="2992" ht="14.25" customHeight="1" s="86">
      <c r="E2992" s="53" t="inlineStr">
        <is>
          <t>VA</t>
        </is>
      </c>
      <c r="F2992" s="53" t="inlineStr">
        <is>
          <t>PRINCE EDWARD</t>
        </is>
      </c>
      <c r="G2992" s="59" t="n"/>
      <c r="X2992" s="61" t="n"/>
      <c r="Y2992" s="61" t="n"/>
    </row>
    <row r="2993" ht="14.25" customHeight="1" s="86">
      <c r="E2993" s="53" t="inlineStr">
        <is>
          <t>VA</t>
        </is>
      </c>
      <c r="F2993" s="53" t="inlineStr">
        <is>
          <t>PRINCE GEORGE</t>
        </is>
      </c>
      <c r="G2993" s="59" t="n"/>
      <c r="X2993" s="61" t="n"/>
      <c r="Y2993" s="61" t="n"/>
    </row>
    <row r="2994" ht="14.25" customHeight="1" s="86">
      <c r="E2994" s="53" t="inlineStr">
        <is>
          <t>VA</t>
        </is>
      </c>
      <c r="F2994" s="53" t="inlineStr">
        <is>
          <t>PRINCE WILLIAM</t>
        </is>
      </c>
      <c r="G2994" s="59" t="n"/>
      <c r="X2994" s="61" t="n"/>
      <c r="Y2994" s="61" t="n"/>
    </row>
    <row r="2995" ht="14.25" customHeight="1" s="86">
      <c r="E2995" s="53" t="inlineStr">
        <is>
          <t>VA</t>
        </is>
      </c>
      <c r="F2995" s="53" t="inlineStr">
        <is>
          <t>PULASKI</t>
        </is>
      </c>
      <c r="G2995" s="59" t="n"/>
      <c r="X2995" s="61" t="n"/>
      <c r="Y2995" s="61" t="n"/>
    </row>
    <row r="2996" ht="14.25" customHeight="1" s="86">
      <c r="E2996" s="53" t="inlineStr">
        <is>
          <t>VA</t>
        </is>
      </c>
      <c r="F2996" s="53" t="inlineStr">
        <is>
          <t>RADFORD</t>
        </is>
      </c>
      <c r="G2996" s="59" t="n"/>
      <c r="X2996" s="61" t="n"/>
      <c r="Y2996" s="61" t="n"/>
    </row>
    <row r="2997" ht="14.25" customHeight="1" s="86">
      <c r="E2997" s="53" t="inlineStr">
        <is>
          <t>VA</t>
        </is>
      </c>
      <c r="F2997" s="53" t="inlineStr">
        <is>
          <t>RAPPAHANNOCK</t>
        </is>
      </c>
      <c r="G2997" s="59" t="n"/>
      <c r="X2997" s="61" t="n"/>
      <c r="Y2997" s="61" t="n"/>
    </row>
    <row r="2998" ht="14.25" customHeight="1" s="86">
      <c r="E2998" s="53" t="inlineStr">
        <is>
          <t>VA</t>
        </is>
      </c>
      <c r="F2998" s="53" t="inlineStr">
        <is>
          <t>RICHMOND</t>
        </is>
      </c>
      <c r="G2998" s="59" t="n"/>
      <c r="X2998" s="61" t="n"/>
      <c r="Y2998" s="61" t="n"/>
    </row>
    <row r="2999" ht="14.25" customHeight="1" s="86">
      <c r="E2999" s="53" t="inlineStr">
        <is>
          <t>VA</t>
        </is>
      </c>
      <c r="F2999" s="53" t="inlineStr">
        <is>
          <t>RICHMOND CITY</t>
        </is>
      </c>
      <c r="G2999" s="59" t="n"/>
      <c r="X2999" s="61" t="n"/>
      <c r="Y2999" s="61" t="n"/>
    </row>
    <row r="3000" ht="14.25" customHeight="1" s="86">
      <c r="E3000" s="53" t="inlineStr">
        <is>
          <t>VA</t>
        </is>
      </c>
      <c r="F3000" s="53" t="inlineStr">
        <is>
          <t>ROANOKE</t>
        </is>
      </c>
      <c r="G3000" s="59" t="n"/>
      <c r="X3000" s="61" t="n"/>
      <c r="Y3000" s="61" t="n"/>
    </row>
    <row r="3001" ht="14.25" customHeight="1" s="86">
      <c r="E3001" s="53" t="inlineStr">
        <is>
          <t>VA</t>
        </is>
      </c>
      <c r="F3001" s="53" t="inlineStr">
        <is>
          <t>ROANOKE CITY</t>
        </is>
      </c>
      <c r="G3001" s="59" t="n"/>
      <c r="X3001" s="61" t="n"/>
      <c r="Y3001" s="61" t="n"/>
    </row>
    <row r="3002" ht="14.25" customHeight="1" s="86">
      <c r="E3002" s="53" t="inlineStr">
        <is>
          <t>VA</t>
        </is>
      </c>
      <c r="F3002" s="53" t="inlineStr">
        <is>
          <t>ROCKBRIDGE</t>
        </is>
      </c>
      <c r="G3002" s="59" t="n"/>
      <c r="X3002" s="61" t="n"/>
      <c r="Y3002" s="61" t="n"/>
    </row>
    <row r="3003" ht="14.25" customHeight="1" s="86">
      <c r="E3003" s="53" t="inlineStr">
        <is>
          <t>VA</t>
        </is>
      </c>
      <c r="F3003" s="53" t="inlineStr">
        <is>
          <t>ROCKINGHAM</t>
        </is>
      </c>
      <c r="G3003" s="59" t="n"/>
      <c r="X3003" s="61" t="n"/>
      <c r="Y3003" s="61" t="n"/>
    </row>
    <row r="3004" ht="14.25" customHeight="1" s="86">
      <c r="E3004" s="53" t="inlineStr">
        <is>
          <t>VA</t>
        </is>
      </c>
      <c r="F3004" s="53" t="inlineStr">
        <is>
          <t>RUSSELL</t>
        </is>
      </c>
      <c r="G3004" s="59" t="n"/>
      <c r="X3004" s="61" t="n"/>
      <c r="Y3004" s="61" t="n"/>
    </row>
    <row r="3005" ht="14.25" customHeight="1" s="86">
      <c r="E3005" s="53" t="inlineStr">
        <is>
          <t>VA</t>
        </is>
      </c>
      <c r="F3005" s="53" t="inlineStr">
        <is>
          <t>SALEM</t>
        </is>
      </c>
      <c r="G3005" s="59" t="n"/>
      <c r="X3005" s="61" t="n"/>
      <c r="Y3005" s="61" t="n"/>
    </row>
    <row r="3006" ht="14.25" customHeight="1" s="86">
      <c r="E3006" s="53" t="inlineStr">
        <is>
          <t>VA</t>
        </is>
      </c>
      <c r="F3006" s="53" t="inlineStr">
        <is>
          <t>SCOTT</t>
        </is>
      </c>
      <c r="G3006" s="59" t="n"/>
      <c r="X3006" s="61" t="n"/>
      <c r="Y3006" s="61" t="n"/>
    </row>
    <row r="3007" ht="14.25" customHeight="1" s="86">
      <c r="E3007" s="53" t="inlineStr">
        <is>
          <t>VA</t>
        </is>
      </c>
      <c r="F3007" s="53" t="inlineStr">
        <is>
          <t>SHENANDOAH</t>
        </is>
      </c>
      <c r="G3007" s="59" t="n"/>
      <c r="X3007" s="61" t="n"/>
      <c r="Y3007" s="61" t="n"/>
    </row>
    <row r="3008" ht="14.25" customHeight="1" s="86">
      <c r="E3008" s="53" t="inlineStr">
        <is>
          <t>VA</t>
        </is>
      </c>
      <c r="F3008" s="53" t="inlineStr">
        <is>
          <t>SMYTH</t>
        </is>
      </c>
      <c r="G3008" s="59" t="n"/>
      <c r="X3008" s="61" t="n"/>
      <c r="Y3008" s="61" t="n"/>
    </row>
    <row r="3009" ht="14.25" customHeight="1" s="86">
      <c r="E3009" s="53" t="inlineStr">
        <is>
          <t>VA</t>
        </is>
      </c>
      <c r="F3009" s="53" t="inlineStr">
        <is>
          <t>SOUTHAMPTON</t>
        </is>
      </c>
      <c r="G3009" s="59" t="n"/>
      <c r="X3009" s="61" t="n"/>
      <c r="Y3009" s="61" t="n"/>
    </row>
    <row r="3010" ht="14.25" customHeight="1" s="86">
      <c r="E3010" s="53" t="inlineStr">
        <is>
          <t>VA</t>
        </is>
      </c>
      <c r="F3010" s="53" t="inlineStr">
        <is>
          <t>SPOTSYLVANIA</t>
        </is>
      </c>
      <c r="G3010" s="59" t="n"/>
      <c r="X3010" s="61" t="n"/>
      <c r="Y3010" s="61" t="n"/>
    </row>
    <row r="3011" ht="14.25" customHeight="1" s="86">
      <c r="E3011" s="53" t="inlineStr">
        <is>
          <t>VA</t>
        </is>
      </c>
      <c r="F3011" s="53" t="inlineStr">
        <is>
          <t>STAFFORD</t>
        </is>
      </c>
      <c r="G3011" s="59" t="n"/>
      <c r="X3011" s="61" t="n"/>
      <c r="Y3011" s="61" t="n"/>
    </row>
    <row r="3012" ht="14.25" customHeight="1" s="86">
      <c r="E3012" s="53" t="inlineStr">
        <is>
          <t>VA</t>
        </is>
      </c>
      <c r="F3012" s="53" t="inlineStr">
        <is>
          <t>STAUNTON CITY</t>
        </is>
      </c>
      <c r="G3012" s="59" t="n"/>
      <c r="X3012" s="61" t="n"/>
      <c r="Y3012" s="61" t="n"/>
    </row>
    <row r="3013" ht="14.25" customHeight="1" s="86">
      <c r="E3013" s="53" t="inlineStr">
        <is>
          <t>VA</t>
        </is>
      </c>
      <c r="F3013" s="53" t="inlineStr">
        <is>
          <t>SUFFOLK CITY</t>
        </is>
      </c>
      <c r="G3013" s="59" t="n"/>
      <c r="X3013" s="61" t="n"/>
      <c r="Y3013" s="61" t="n"/>
    </row>
    <row r="3014" ht="14.25" customHeight="1" s="86">
      <c r="E3014" s="53" t="inlineStr">
        <is>
          <t>VA</t>
        </is>
      </c>
      <c r="F3014" s="53" t="inlineStr">
        <is>
          <t>SURRY</t>
        </is>
      </c>
      <c r="G3014" s="59" t="n"/>
      <c r="X3014" s="61" t="n"/>
      <c r="Y3014" s="61" t="n"/>
    </row>
    <row r="3015" ht="14.25" customHeight="1" s="86">
      <c r="E3015" s="53" t="inlineStr">
        <is>
          <t>VA</t>
        </is>
      </c>
      <c r="F3015" s="53" t="inlineStr">
        <is>
          <t>SUSSEX</t>
        </is>
      </c>
      <c r="G3015" s="59" t="n"/>
      <c r="X3015" s="61" t="n"/>
      <c r="Y3015" s="61" t="n"/>
    </row>
    <row r="3016" ht="14.25" customHeight="1" s="86">
      <c r="E3016" s="53" t="inlineStr">
        <is>
          <t>VA</t>
        </is>
      </c>
      <c r="F3016" s="53" t="inlineStr">
        <is>
          <t>TAZEWELL</t>
        </is>
      </c>
      <c r="G3016" s="59" t="n"/>
      <c r="X3016" s="61" t="n"/>
      <c r="Y3016" s="61" t="n"/>
    </row>
    <row r="3017" ht="14.25" customHeight="1" s="86">
      <c r="E3017" s="53" t="inlineStr">
        <is>
          <t>VA</t>
        </is>
      </c>
      <c r="F3017" s="53" t="inlineStr">
        <is>
          <t>VIRGINIA BEACH CITY</t>
        </is>
      </c>
      <c r="G3017" s="59" t="n"/>
      <c r="X3017" s="61" t="n"/>
      <c r="Y3017" s="61" t="n"/>
    </row>
    <row r="3018" ht="14.25" customHeight="1" s="86">
      <c r="E3018" s="53" t="inlineStr">
        <is>
          <t>VA</t>
        </is>
      </c>
      <c r="F3018" s="53" t="inlineStr">
        <is>
          <t>WARREN</t>
        </is>
      </c>
      <c r="G3018" s="59" t="n"/>
      <c r="X3018" s="61" t="n"/>
      <c r="Y3018" s="61" t="n"/>
    </row>
    <row r="3019" ht="14.25" customHeight="1" s="86">
      <c r="E3019" s="53" t="inlineStr">
        <is>
          <t>VA</t>
        </is>
      </c>
      <c r="F3019" s="53" t="inlineStr">
        <is>
          <t>WASHINGTON</t>
        </is>
      </c>
      <c r="G3019" s="59" t="n"/>
      <c r="X3019" s="61" t="n"/>
      <c r="Y3019" s="61" t="n"/>
    </row>
    <row r="3020" ht="14.25" customHeight="1" s="86">
      <c r="E3020" s="53" t="inlineStr">
        <is>
          <t>VA</t>
        </is>
      </c>
      <c r="F3020" s="53" t="inlineStr">
        <is>
          <t>WAYNESBORO CITY</t>
        </is>
      </c>
      <c r="G3020" s="59" t="n"/>
      <c r="X3020" s="61" t="n"/>
      <c r="Y3020" s="61" t="n"/>
    </row>
    <row r="3021" ht="14.25" customHeight="1" s="86">
      <c r="E3021" s="53" t="inlineStr">
        <is>
          <t>VA</t>
        </is>
      </c>
      <c r="F3021" s="53" t="inlineStr">
        <is>
          <t>WESTMORELAND</t>
        </is>
      </c>
      <c r="G3021" s="59" t="n"/>
      <c r="X3021" s="61" t="n"/>
      <c r="Y3021" s="61" t="n"/>
    </row>
    <row r="3022" ht="14.25" customHeight="1" s="86">
      <c r="E3022" s="53" t="inlineStr">
        <is>
          <t>VA</t>
        </is>
      </c>
      <c r="F3022" s="53" t="inlineStr">
        <is>
          <t>WILLIAMSBURG CITY</t>
        </is>
      </c>
      <c r="G3022" s="59" t="n"/>
      <c r="X3022" s="61" t="n"/>
      <c r="Y3022" s="61" t="n"/>
    </row>
    <row r="3023" ht="14.25" customHeight="1" s="86">
      <c r="E3023" s="53" t="inlineStr">
        <is>
          <t>VA</t>
        </is>
      </c>
      <c r="F3023" s="53" t="inlineStr">
        <is>
          <t>WINCHESTER CITY</t>
        </is>
      </c>
      <c r="G3023" s="59" t="n"/>
      <c r="X3023" s="61" t="n"/>
      <c r="Y3023" s="61" t="n"/>
    </row>
    <row r="3024" ht="14.25" customHeight="1" s="86">
      <c r="E3024" s="53" t="inlineStr">
        <is>
          <t>VA</t>
        </is>
      </c>
      <c r="F3024" s="53" t="inlineStr">
        <is>
          <t>WISE</t>
        </is>
      </c>
      <c r="G3024" s="59" t="n"/>
      <c r="X3024" s="61" t="n"/>
      <c r="Y3024" s="61" t="n"/>
    </row>
    <row r="3025" ht="14.25" customHeight="1" s="86">
      <c r="E3025" s="53" t="inlineStr">
        <is>
          <t>VA</t>
        </is>
      </c>
      <c r="F3025" s="53" t="inlineStr">
        <is>
          <t>WYTHE</t>
        </is>
      </c>
      <c r="G3025" s="59" t="n"/>
      <c r="X3025" s="61" t="n"/>
      <c r="Y3025" s="61" t="n"/>
    </row>
    <row r="3026" ht="14.25" customHeight="1" s="86">
      <c r="E3026" s="53" t="inlineStr">
        <is>
          <t>VA</t>
        </is>
      </c>
      <c r="F3026" s="53" t="inlineStr">
        <is>
          <t>YORK</t>
        </is>
      </c>
      <c r="G3026" s="59" t="n"/>
      <c r="X3026" s="61" t="n"/>
      <c r="Y3026" s="61" t="n"/>
    </row>
    <row r="3027" ht="14.25" customHeight="1" s="86">
      <c r="E3027" s="53" t="inlineStr">
        <is>
          <t>VI</t>
        </is>
      </c>
      <c r="F3027" s="53" t="inlineStr">
        <is>
          <t>SAINT CROIX</t>
        </is>
      </c>
      <c r="G3027" s="59" t="n"/>
      <c r="X3027" s="61" t="n"/>
      <c r="Y3027" s="61" t="n"/>
    </row>
    <row r="3028" ht="14.25" customHeight="1" s="86">
      <c r="E3028" s="53" t="inlineStr">
        <is>
          <t>VI</t>
        </is>
      </c>
      <c r="F3028" s="53" t="inlineStr">
        <is>
          <t>SAINT JOHN</t>
        </is>
      </c>
      <c r="G3028" s="59" t="n"/>
      <c r="X3028" s="61" t="n"/>
      <c r="Y3028" s="61" t="n"/>
    </row>
    <row r="3029" ht="14.25" customHeight="1" s="86">
      <c r="E3029" s="53" t="inlineStr">
        <is>
          <t>VI</t>
        </is>
      </c>
      <c r="F3029" s="53" t="inlineStr">
        <is>
          <t>SAINT THOMAS</t>
        </is>
      </c>
      <c r="G3029" s="59" t="n"/>
      <c r="X3029" s="61" t="n"/>
      <c r="Y3029" s="61" t="n"/>
    </row>
    <row r="3030" ht="14.25" customHeight="1" s="86">
      <c r="E3030" s="53" t="inlineStr">
        <is>
          <t>VT</t>
        </is>
      </c>
      <c r="F3030" s="53" t="inlineStr">
        <is>
          <t>ADDISON</t>
        </is>
      </c>
      <c r="G3030" s="59" t="n"/>
      <c r="X3030" s="61" t="n"/>
      <c r="Y3030" s="61" t="n"/>
    </row>
    <row r="3031" ht="14.25" customHeight="1" s="86">
      <c r="E3031" s="53" t="inlineStr">
        <is>
          <t>VT</t>
        </is>
      </c>
      <c r="F3031" s="53" t="inlineStr">
        <is>
          <t>BENNINGTON</t>
        </is>
      </c>
      <c r="G3031" s="59" t="n"/>
      <c r="X3031" s="61" t="n"/>
      <c r="Y3031" s="61" t="n"/>
    </row>
    <row r="3032" ht="14.25" customHeight="1" s="86">
      <c r="E3032" s="53" t="inlineStr">
        <is>
          <t>VT</t>
        </is>
      </c>
      <c r="F3032" s="53" t="inlineStr">
        <is>
          <t>CALEDONIA</t>
        </is>
      </c>
      <c r="G3032" s="59" t="n"/>
      <c r="X3032" s="61" t="n"/>
      <c r="Y3032" s="61" t="n"/>
    </row>
    <row r="3033" ht="14.25" customHeight="1" s="86">
      <c r="E3033" s="53" t="inlineStr">
        <is>
          <t>VT</t>
        </is>
      </c>
      <c r="F3033" s="53" t="inlineStr">
        <is>
          <t>CHITTENDEN</t>
        </is>
      </c>
      <c r="G3033" s="59" t="n"/>
      <c r="X3033" s="61" t="n"/>
      <c r="Y3033" s="61" t="n"/>
    </row>
    <row r="3034" ht="14.25" customHeight="1" s="86">
      <c r="E3034" s="53" t="inlineStr">
        <is>
          <t>VT</t>
        </is>
      </c>
      <c r="F3034" s="53" t="inlineStr">
        <is>
          <t>ESSEX</t>
        </is>
      </c>
      <c r="G3034" s="59" t="n"/>
      <c r="X3034" s="61" t="n"/>
      <c r="Y3034" s="61" t="n"/>
    </row>
    <row r="3035" ht="14.25" customHeight="1" s="86">
      <c r="E3035" s="53" t="inlineStr">
        <is>
          <t>VT</t>
        </is>
      </c>
      <c r="F3035" s="53" t="inlineStr">
        <is>
          <t>FRANKLIN</t>
        </is>
      </c>
      <c r="G3035" s="59" t="n"/>
      <c r="X3035" s="61" t="n"/>
      <c r="Y3035" s="61" t="n"/>
    </row>
    <row r="3036" ht="14.25" customHeight="1" s="86">
      <c r="E3036" s="53" t="inlineStr">
        <is>
          <t>VT</t>
        </is>
      </c>
      <c r="F3036" s="53" t="inlineStr">
        <is>
          <t>GRAND ISLE</t>
        </is>
      </c>
      <c r="G3036" s="59" t="n"/>
      <c r="X3036" s="61" t="n"/>
      <c r="Y3036" s="61" t="n"/>
    </row>
    <row r="3037" ht="14.25" customHeight="1" s="86">
      <c r="E3037" s="53" t="inlineStr">
        <is>
          <t>VT</t>
        </is>
      </c>
      <c r="F3037" s="53" t="inlineStr">
        <is>
          <t>LAMOILLE</t>
        </is>
      </c>
      <c r="G3037" s="59" t="n"/>
      <c r="X3037" s="61" t="n"/>
      <c r="Y3037" s="61" t="n"/>
    </row>
    <row r="3038" ht="14.25" customHeight="1" s="86">
      <c r="E3038" s="53" t="inlineStr">
        <is>
          <t>VT</t>
        </is>
      </c>
      <c r="F3038" s="53" t="inlineStr">
        <is>
          <t>ORANGE</t>
        </is>
      </c>
      <c r="G3038" s="59" t="n"/>
      <c r="X3038" s="61" t="n"/>
      <c r="Y3038" s="61" t="n"/>
    </row>
    <row r="3039" ht="14.25" customHeight="1" s="86">
      <c r="E3039" s="53" t="inlineStr">
        <is>
          <t>VT</t>
        </is>
      </c>
      <c r="F3039" s="53" t="inlineStr">
        <is>
          <t>ORLEANS</t>
        </is>
      </c>
      <c r="G3039" s="59" t="n"/>
      <c r="X3039" s="61" t="n"/>
      <c r="Y3039" s="61" t="n"/>
    </row>
    <row r="3040" ht="14.25" customHeight="1" s="86">
      <c r="E3040" s="53" t="inlineStr">
        <is>
          <t>VT</t>
        </is>
      </c>
      <c r="F3040" s="53" t="inlineStr">
        <is>
          <t>RUTLAND</t>
        </is>
      </c>
      <c r="G3040" s="59" t="n"/>
      <c r="X3040" s="61" t="n"/>
      <c r="Y3040" s="61" t="n"/>
    </row>
    <row r="3041" ht="14.25" customHeight="1" s="86">
      <c r="E3041" s="53" t="inlineStr">
        <is>
          <t>VT</t>
        </is>
      </c>
      <c r="F3041" s="53" t="inlineStr">
        <is>
          <t>WASHINGTON</t>
        </is>
      </c>
      <c r="G3041" s="59" t="n"/>
      <c r="X3041" s="61" t="n"/>
      <c r="Y3041" s="61" t="n"/>
    </row>
    <row r="3042" ht="14.25" customHeight="1" s="86">
      <c r="E3042" s="53" t="inlineStr">
        <is>
          <t>VT</t>
        </is>
      </c>
      <c r="F3042" s="53" t="inlineStr">
        <is>
          <t>WINDHAM</t>
        </is>
      </c>
      <c r="G3042" s="59" t="n"/>
      <c r="X3042" s="61" t="n"/>
      <c r="Y3042" s="61" t="n"/>
    </row>
    <row r="3043" ht="14.25" customHeight="1" s="86">
      <c r="E3043" s="53" t="inlineStr">
        <is>
          <t>VT</t>
        </is>
      </c>
      <c r="F3043" s="53" t="inlineStr">
        <is>
          <t>WINDSOR</t>
        </is>
      </c>
      <c r="G3043" s="59" t="n"/>
      <c r="X3043" s="61" t="n"/>
      <c r="Y3043" s="61" t="n"/>
    </row>
    <row r="3044" ht="14.25" customHeight="1" s="86">
      <c r="E3044" s="53" t="inlineStr">
        <is>
          <t>WA</t>
        </is>
      </c>
      <c r="F3044" s="53" t="inlineStr">
        <is>
          <t>ADAMS</t>
        </is>
      </c>
      <c r="G3044" s="59" t="n"/>
      <c r="X3044" s="61" t="n"/>
      <c r="Y3044" s="61" t="n"/>
    </row>
    <row r="3045" ht="14.25" customHeight="1" s="86">
      <c r="E3045" s="53" t="inlineStr">
        <is>
          <t>WA</t>
        </is>
      </c>
      <c r="F3045" s="53" t="inlineStr">
        <is>
          <t>ASOTIN</t>
        </is>
      </c>
      <c r="G3045" s="59" t="n"/>
      <c r="X3045" s="61" t="n"/>
      <c r="Y3045" s="61" t="n"/>
    </row>
    <row r="3046" ht="14.25" customHeight="1" s="86">
      <c r="E3046" s="53" t="inlineStr">
        <is>
          <t>WA</t>
        </is>
      </c>
      <c r="F3046" s="53" t="inlineStr">
        <is>
          <t>BENTON</t>
        </is>
      </c>
      <c r="G3046" s="59" t="n"/>
      <c r="X3046" s="61" t="n"/>
      <c r="Y3046" s="61" t="n"/>
    </row>
    <row r="3047" ht="14.25" customHeight="1" s="86">
      <c r="E3047" s="53" t="inlineStr">
        <is>
          <t>WA</t>
        </is>
      </c>
      <c r="F3047" s="53" t="inlineStr">
        <is>
          <t>CHELAN</t>
        </is>
      </c>
      <c r="G3047" s="59" t="n"/>
      <c r="X3047" s="61" t="n"/>
      <c r="Y3047" s="61" t="n"/>
    </row>
    <row r="3048" ht="14.25" customHeight="1" s="86">
      <c r="E3048" s="53" t="inlineStr">
        <is>
          <t>WA</t>
        </is>
      </c>
      <c r="F3048" s="53" t="inlineStr">
        <is>
          <t>CLALLAM</t>
        </is>
      </c>
      <c r="G3048" s="59" t="n"/>
      <c r="X3048" s="61" t="n"/>
      <c r="Y3048" s="61" t="n"/>
    </row>
    <row r="3049" ht="14.25" customHeight="1" s="86">
      <c r="E3049" s="53" t="inlineStr">
        <is>
          <t>WA</t>
        </is>
      </c>
      <c r="F3049" s="53" t="inlineStr">
        <is>
          <t>CLARK</t>
        </is>
      </c>
      <c r="G3049" s="59" t="n"/>
      <c r="X3049" s="61" t="n"/>
      <c r="Y3049" s="61" t="n"/>
    </row>
    <row r="3050" ht="14.25" customHeight="1" s="86">
      <c r="E3050" s="53" t="inlineStr">
        <is>
          <t>WA</t>
        </is>
      </c>
      <c r="F3050" s="53" t="inlineStr">
        <is>
          <t>COLUMBIA</t>
        </is>
      </c>
      <c r="G3050" s="59" t="n"/>
      <c r="X3050" s="61" t="n"/>
      <c r="Y3050" s="61" t="n"/>
    </row>
    <row r="3051" ht="14.25" customHeight="1" s="86">
      <c r="E3051" s="53" t="inlineStr">
        <is>
          <t>WA</t>
        </is>
      </c>
      <c r="F3051" s="53" t="inlineStr">
        <is>
          <t>COWLITZ</t>
        </is>
      </c>
      <c r="G3051" s="59" t="n"/>
      <c r="X3051" s="61" t="n"/>
      <c r="Y3051" s="61" t="n"/>
    </row>
    <row r="3052" ht="14.25" customHeight="1" s="86">
      <c r="E3052" s="53" t="inlineStr">
        <is>
          <t>WA</t>
        </is>
      </c>
      <c r="F3052" s="53" t="inlineStr">
        <is>
          <t>DOUGLAS</t>
        </is>
      </c>
      <c r="G3052" s="59" t="n"/>
      <c r="X3052" s="61" t="n"/>
      <c r="Y3052" s="61" t="n"/>
    </row>
    <row r="3053" ht="14.25" customHeight="1" s="86">
      <c r="E3053" s="53" t="inlineStr">
        <is>
          <t>WA</t>
        </is>
      </c>
      <c r="F3053" s="53" t="inlineStr">
        <is>
          <t>FERRY</t>
        </is>
      </c>
      <c r="G3053" s="59" t="n"/>
      <c r="X3053" s="61" t="n"/>
      <c r="Y3053" s="61" t="n"/>
    </row>
    <row r="3054" ht="14.25" customHeight="1" s="86">
      <c r="E3054" s="53" t="inlineStr">
        <is>
          <t>WA</t>
        </is>
      </c>
      <c r="F3054" s="53" t="inlineStr">
        <is>
          <t>FRANKLIN</t>
        </is>
      </c>
      <c r="G3054" s="59" t="n"/>
      <c r="X3054" s="61" t="n"/>
      <c r="Y3054" s="61" t="n"/>
    </row>
    <row r="3055" ht="14.25" customHeight="1" s="86">
      <c r="E3055" s="53" t="inlineStr">
        <is>
          <t>WA</t>
        </is>
      </c>
      <c r="F3055" s="53" t="inlineStr">
        <is>
          <t>GARFIELD</t>
        </is>
      </c>
      <c r="G3055" s="59" t="n"/>
      <c r="X3055" s="61" t="n"/>
      <c r="Y3055" s="61" t="n"/>
    </row>
    <row r="3056" ht="14.25" customHeight="1" s="86">
      <c r="E3056" s="53" t="inlineStr">
        <is>
          <t>WA</t>
        </is>
      </c>
      <c r="F3056" s="53" t="inlineStr">
        <is>
          <t>GRANT</t>
        </is>
      </c>
      <c r="G3056" s="59" t="n"/>
      <c r="X3056" s="61" t="n"/>
      <c r="Y3056" s="61" t="n"/>
    </row>
    <row r="3057" ht="14.25" customHeight="1" s="86">
      <c r="E3057" s="53" t="inlineStr">
        <is>
          <t>WA</t>
        </is>
      </c>
      <c r="F3057" s="53" t="inlineStr">
        <is>
          <t>GRAYS HARBOR</t>
        </is>
      </c>
      <c r="G3057" s="59" t="n"/>
      <c r="X3057" s="61" t="n"/>
      <c r="Y3057" s="61" t="n"/>
    </row>
    <row r="3058" ht="14.25" customHeight="1" s="86">
      <c r="E3058" s="53" t="inlineStr">
        <is>
          <t>WA</t>
        </is>
      </c>
      <c r="F3058" s="53" t="inlineStr">
        <is>
          <t>ISLAND</t>
        </is>
      </c>
      <c r="G3058" s="59" t="n"/>
      <c r="X3058" s="61" t="n"/>
      <c r="Y3058" s="61" t="n"/>
    </row>
    <row r="3059" ht="14.25" customHeight="1" s="86">
      <c r="E3059" s="53" t="inlineStr">
        <is>
          <t>WA</t>
        </is>
      </c>
      <c r="F3059" s="53" t="inlineStr">
        <is>
          <t>JEFFERSON</t>
        </is>
      </c>
      <c r="G3059" s="59" t="n"/>
      <c r="X3059" s="61" t="n"/>
      <c r="Y3059" s="61" t="n"/>
    </row>
    <row r="3060" ht="14.25" customHeight="1" s="86">
      <c r="E3060" s="53" t="inlineStr">
        <is>
          <t>WA</t>
        </is>
      </c>
      <c r="F3060" s="53" t="inlineStr">
        <is>
          <t>KING</t>
        </is>
      </c>
      <c r="G3060" s="59" t="n"/>
      <c r="X3060" s="61" t="n"/>
      <c r="Y3060" s="61" t="n"/>
    </row>
    <row r="3061" ht="14.25" customHeight="1" s="86">
      <c r="E3061" s="53" t="inlineStr">
        <is>
          <t>WA</t>
        </is>
      </c>
      <c r="F3061" s="53" t="inlineStr">
        <is>
          <t>KITSAP</t>
        </is>
      </c>
      <c r="G3061" s="59" t="n"/>
      <c r="X3061" s="61" t="n"/>
      <c r="Y3061" s="61" t="n"/>
    </row>
    <row r="3062" ht="14.25" customHeight="1" s="86">
      <c r="E3062" s="53" t="inlineStr">
        <is>
          <t>WA</t>
        </is>
      </c>
      <c r="F3062" s="53" t="inlineStr">
        <is>
          <t>KITTITAS</t>
        </is>
      </c>
      <c r="G3062" s="59" t="n"/>
      <c r="X3062" s="61" t="n"/>
      <c r="Y3062" s="61" t="n"/>
    </row>
    <row r="3063" ht="14.25" customHeight="1" s="86">
      <c r="E3063" s="53" t="inlineStr">
        <is>
          <t>WA</t>
        </is>
      </c>
      <c r="F3063" s="53" t="inlineStr">
        <is>
          <t>KLICKITAT</t>
        </is>
      </c>
      <c r="G3063" s="59" t="n"/>
      <c r="X3063" s="61" t="n"/>
      <c r="Y3063" s="61" t="n"/>
    </row>
    <row r="3064" ht="14.25" customHeight="1" s="86">
      <c r="E3064" s="53" t="inlineStr">
        <is>
          <t>WA</t>
        </is>
      </c>
      <c r="F3064" s="53" t="inlineStr">
        <is>
          <t>LEWIS</t>
        </is>
      </c>
      <c r="G3064" s="59" t="n"/>
      <c r="X3064" s="61" t="n"/>
      <c r="Y3064" s="61" t="n"/>
    </row>
    <row r="3065" ht="14.25" customHeight="1" s="86">
      <c r="E3065" s="53" t="inlineStr">
        <is>
          <t>WA</t>
        </is>
      </c>
      <c r="F3065" s="53" t="inlineStr">
        <is>
          <t>LINCOLN</t>
        </is>
      </c>
      <c r="G3065" s="59" t="n"/>
      <c r="X3065" s="61" t="n"/>
      <c r="Y3065" s="61" t="n"/>
    </row>
    <row r="3066" ht="14.25" customHeight="1" s="86">
      <c r="E3066" s="53" t="inlineStr">
        <is>
          <t>WA</t>
        </is>
      </c>
      <c r="F3066" s="53" t="inlineStr">
        <is>
          <t>MASON</t>
        </is>
      </c>
      <c r="G3066" s="59" t="n"/>
      <c r="X3066" s="61" t="n"/>
      <c r="Y3066" s="61" t="n"/>
    </row>
    <row r="3067" ht="14.25" customHeight="1" s="86">
      <c r="E3067" s="53" t="inlineStr">
        <is>
          <t>WA</t>
        </is>
      </c>
      <c r="F3067" s="53" t="inlineStr">
        <is>
          <t>OKANOGAN</t>
        </is>
      </c>
      <c r="G3067" s="59" t="n"/>
      <c r="X3067" s="61" t="n"/>
      <c r="Y3067" s="61" t="n"/>
    </row>
    <row r="3068" ht="14.25" customHeight="1" s="86">
      <c r="E3068" s="53" t="inlineStr">
        <is>
          <t>WA</t>
        </is>
      </c>
      <c r="F3068" s="53" t="inlineStr">
        <is>
          <t>PACIFIC</t>
        </is>
      </c>
      <c r="G3068" s="59" t="n"/>
      <c r="X3068" s="61" t="n"/>
      <c r="Y3068" s="61" t="n"/>
    </row>
    <row r="3069" ht="14.25" customHeight="1" s="86">
      <c r="E3069" s="53" t="inlineStr">
        <is>
          <t>WA</t>
        </is>
      </c>
      <c r="F3069" s="53" t="inlineStr">
        <is>
          <t>PEND OREILLE</t>
        </is>
      </c>
      <c r="G3069" s="59" t="n"/>
      <c r="X3069" s="61" t="n"/>
      <c r="Y3069" s="61" t="n"/>
    </row>
    <row r="3070" ht="14.25" customHeight="1" s="86">
      <c r="E3070" s="53" t="inlineStr">
        <is>
          <t>WA</t>
        </is>
      </c>
      <c r="F3070" s="53" t="inlineStr">
        <is>
          <t>PIERCE</t>
        </is>
      </c>
      <c r="G3070" s="59" t="n"/>
      <c r="X3070" s="61" t="n"/>
      <c r="Y3070" s="61" t="n"/>
    </row>
    <row r="3071" ht="14.25" customHeight="1" s="86">
      <c r="E3071" s="53" t="inlineStr">
        <is>
          <t>WA</t>
        </is>
      </c>
      <c r="F3071" s="53" t="inlineStr">
        <is>
          <t>SAN JUAN</t>
        </is>
      </c>
      <c r="G3071" s="59" t="n"/>
      <c r="X3071" s="61" t="n"/>
      <c r="Y3071" s="61" t="n"/>
    </row>
    <row r="3072" ht="14.25" customHeight="1" s="86">
      <c r="E3072" s="53" t="inlineStr">
        <is>
          <t>WA</t>
        </is>
      </c>
      <c r="F3072" s="53" t="inlineStr">
        <is>
          <t>SKAGIT</t>
        </is>
      </c>
      <c r="G3072" s="59" t="n"/>
      <c r="X3072" s="61" t="n"/>
      <c r="Y3072" s="61" t="n"/>
    </row>
    <row r="3073" ht="14.25" customHeight="1" s="86">
      <c r="E3073" s="53" t="inlineStr">
        <is>
          <t>WA</t>
        </is>
      </c>
      <c r="F3073" s="53" t="inlineStr">
        <is>
          <t>SKAMANIA</t>
        </is>
      </c>
      <c r="G3073" s="59" t="n"/>
      <c r="X3073" s="61" t="n"/>
      <c r="Y3073" s="61" t="n"/>
    </row>
    <row r="3074" ht="14.25" customHeight="1" s="86">
      <c r="E3074" s="53" t="inlineStr">
        <is>
          <t>WA</t>
        </is>
      </c>
      <c r="F3074" s="53" t="inlineStr">
        <is>
          <t>SNOHOMISH</t>
        </is>
      </c>
      <c r="G3074" s="59" t="n"/>
      <c r="X3074" s="61" t="n"/>
      <c r="Y3074" s="61" t="n"/>
    </row>
    <row r="3075" ht="14.25" customHeight="1" s="86">
      <c r="E3075" s="53" t="inlineStr">
        <is>
          <t>WA</t>
        </is>
      </c>
      <c r="F3075" s="53" t="inlineStr">
        <is>
          <t>SPOKANE</t>
        </is>
      </c>
      <c r="G3075" s="59" t="n"/>
      <c r="X3075" s="61" t="n"/>
      <c r="Y3075" s="61" t="n"/>
    </row>
    <row r="3076" ht="14.25" customHeight="1" s="86">
      <c r="E3076" s="53" t="inlineStr">
        <is>
          <t>WA</t>
        </is>
      </c>
      <c r="F3076" s="53" t="inlineStr">
        <is>
          <t>STEVENS</t>
        </is>
      </c>
      <c r="G3076" s="59" t="n"/>
      <c r="X3076" s="61" t="n"/>
      <c r="Y3076" s="61" t="n"/>
    </row>
    <row r="3077" ht="14.25" customHeight="1" s="86">
      <c r="E3077" s="53" t="inlineStr">
        <is>
          <t>WA</t>
        </is>
      </c>
      <c r="F3077" s="53" t="inlineStr">
        <is>
          <t>THURSTON</t>
        </is>
      </c>
      <c r="G3077" s="59" t="n"/>
      <c r="X3077" s="61" t="n"/>
      <c r="Y3077" s="61" t="n"/>
    </row>
    <row r="3078" ht="14.25" customHeight="1" s="86">
      <c r="E3078" s="53" t="inlineStr">
        <is>
          <t>WA</t>
        </is>
      </c>
      <c r="F3078" s="53" t="inlineStr">
        <is>
          <t>WAHKIAKUM</t>
        </is>
      </c>
      <c r="G3078" s="59" t="n"/>
      <c r="X3078" s="61" t="n"/>
      <c r="Y3078" s="61" t="n"/>
    </row>
    <row r="3079" ht="14.25" customHeight="1" s="86">
      <c r="E3079" s="53" t="inlineStr">
        <is>
          <t>WA</t>
        </is>
      </c>
      <c r="F3079" s="53" t="inlineStr">
        <is>
          <t>WALLA WALLA</t>
        </is>
      </c>
      <c r="G3079" s="59" t="n"/>
      <c r="X3079" s="61" t="n"/>
      <c r="Y3079" s="61" t="n"/>
    </row>
    <row r="3080" ht="14.25" customHeight="1" s="86">
      <c r="E3080" s="53" t="inlineStr">
        <is>
          <t>WA</t>
        </is>
      </c>
      <c r="F3080" s="53" t="inlineStr">
        <is>
          <t>WHATCOM</t>
        </is>
      </c>
      <c r="G3080" s="59" t="n"/>
      <c r="X3080" s="61" t="n"/>
      <c r="Y3080" s="61" t="n"/>
    </row>
    <row r="3081" ht="14.25" customHeight="1" s="86">
      <c r="E3081" s="53" t="inlineStr">
        <is>
          <t>WA</t>
        </is>
      </c>
      <c r="F3081" s="53" t="inlineStr">
        <is>
          <t>WHITMAN</t>
        </is>
      </c>
      <c r="G3081" s="59" t="n"/>
      <c r="X3081" s="61" t="n"/>
      <c r="Y3081" s="61" t="n"/>
    </row>
    <row r="3082" ht="14.25" customHeight="1" s="86">
      <c r="E3082" s="53" t="inlineStr">
        <is>
          <t>WA</t>
        </is>
      </c>
      <c r="F3082" s="53" t="inlineStr">
        <is>
          <t>YAKIMA</t>
        </is>
      </c>
      <c r="G3082" s="59" t="n"/>
      <c r="X3082" s="61" t="n"/>
      <c r="Y3082" s="61" t="n"/>
    </row>
    <row r="3083" ht="14.25" customHeight="1" s="86">
      <c r="E3083" s="53" t="inlineStr">
        <is>
          <t>WI</t>
        </is>
      </c>
      <c r="F3083" s="53" t="inlineStr">
        <is>
          <t>ADAMS</t>
        </is>
      </c>
      <c r="G3083" s="59" t="n"/>
      <c r="X3083" s="61" t="n"/>
      <c r="Y3083" s="61" t="n"/>
    </row>
    <row r="3084" ht="14.25" customHeight="1" s="86">
      <c r="E3084" s="53" t="inlineStr">
        <is>
          <t>WI</t>
        </is>
      </c>
      <c r="F3084" s="53" t="inlineStr">
        <is>
          <t>ASHLAND</t>
        </is>
      </c>
      <c r="G3084" s="59" t="n"/>
      <c r="X3084" s="61" t="n"/>
      <c r="Y3084" s="61" t="n"/>
    </row>
    <row r="3085" ht="14.25" customHeight="1" s="86">
      <c r="E3085" s="53" t="inlineStr">
        <is>
          <t>WI</t>
        </is>
      </c>
      <c r="F3085" s="53" t="inlineStr">
        <is>
          <t>BARRON</t>
        </is>
      </c>
      <c r="G3085" s="59" t="n"/>
      <c r="X3085" s="61" t="n"/>
      <c r="Y3085" s="61" t="n"/>
    </row>
    <row r="3086" ht="14.25" customHeight="1" s="86">
      <c r="E3086" s="53" t="inlineStr">
        <is>
          <t>WI</t>
        </is>
      </c>
      <c r="F3086" s="53" t="inlineStr">
        <is>
          <t>BAYFIELD</t>
        </is>
      </c>
      <c r="G3086" s="59" t="n"/>
      <c r="X3086" s="61" t="n"/>
      <c r="Y3086" s="61" t="n"/>
    </row>
    <row r="3087" ht="14.25" customHeight="1" s="86">
      <c r="E3087" s="53" t="inlineStr">
        <is>
          <t>WI</t>
        </is>
      </c>
      <c r="F3087" s="53" t="inlineStr">
        <is>
          <t>BROWN</t>
        </is>
      </c>
      <c r="G3087" s="59" t="n"/>
      <c r="X3087" s="61" t="n"/>
      <c r="Y3087" s="61" t="n"/>
    </row>
    <row r="3088" ht="14.25" customHeight="1" s="86">
      <c r="E3088" s="53" t="inlineStr">
        <is>
          <t>WI</t>
        </is>
      </c>
      <c r="F3088" s="53" t="inlineStr">
        <is>
          <t>BUFFALO</t>
        </is>
      </c>
      <c r="G3088" s="59" t="n"/>
      <c r="X3088" s="61" t="n"/>
      <c r="Y3088" s="61" t="n"/>
    </row>
    <row r="3089" ht="14.25" customHeight="1" s="86">
      <c r="E3089" s="53" t="inlineStr">
        <is>
          <t>WI</t>
        </is>
      </c>
      <c r="F3089" s="53" t="inlineStr">
        <is>
          <t>BURNETT</t>
        </is>
      </c>
      <c r="G3089" s="59" t="n"/>
      <c r="X3089" s="61" t="n"/>
      <c r="Y3089" s="61" t="n"/>
    </row>
    <row r="3090" ht="14.25" customHeight="1" s="86">
      <c r="E3090" s="53" t="inlineStr">
        <is>
          <t>WI</t>
        </is>
      </c>
      <c r="F3090" s="53" t="inlineStr">
        <is>
          <t>CALUMET</t>
        </is>
      </c>
      <c r="G3090" s="59" t="n"/>
      <c r="X3090" s="61" t="n"/>
      <c r="Y3090" s="61" t="n"/>
    </row>
    <row r="3091" ht="14.25" customHeight="1" s="86">
      <c r="E3091" s="53" t="inlineStr">
        <is>
          <t>WI</t>
        </is>
      </c>
      <c r="F3091" s="53" t="inlineStr">
        <is>
          <t>CHIPPEWA</t>
        </is>
      </c>
      <c r="G3091" s="59" t="n"/>
      <c r="X3091" s="61" t="n"/>
      <c r="Y3091" s="61" t="n"/>
    </row>
    <row r="3092" ht="14.25" customHeight="1" s="86">
      <c r="E3092" s="53" t="inlineStr">
        <is>
          <t>WI</t>
        </is>
      </c>
      <c r="F3092" s="53" t="inlineStr">
        <is>
          <t>CLARK</t>
        </is>
      </c>
      <c r="G3092" s="59" t="n"/>
      <c r="X3092" s="61" t="n"/>
      <c r="Y3092" s="61" t="n"/>
    </row>
    <row r="3093" ht="14.25" customHeight="1" s="86">
      <c r="E3093" s="53" t="inlineStr">
        <is>
          <t>WI</t>
        </is>
      </c>
      <c r="F3093" s="53" t="inlineStr">
        <is>
          <t>COLUMBIA</t>
        </is>
      </c>
      <c r="G3093" s="59" t="n"/>
      <c r="X3093" s="61" t="n"/>
      <c r="Y3093" s="61" t="n"/>
    </row>
    <row r="3094" ht="14.25" customHeight="1" s="86">
      <c r="E3094" s="53" t="inlineStr">
        <is>
          <t>WI</t>
        </is>
      </c>
      <c r="F3094" s="53" t="inlineStr">
        <is>
          <t>CRAWFORD</t>
        </is>
      </c>
      <c r="G3094" s="59" t="n"/>
      <c r="X3094" s="61" t="n"/>
      <c r="Y3094" s="61" t="n"/>
    </row>
    <row r="3095" ht="14.25" customHeight="1" s="86">
      <c r="E3095" s="53" t="inlineStr">
        <is>
          <t>WI</t>
        </is>
      </c>
      <c r="F3095" s="53" t="inlineStr">
        <is>
          <t>DANE</t>
        </is>
      </c>
      <c r="G3095" s="59" t="n"/>
      <c r="X3095" s="61" t="n"/>
      <c r="Y3095" s="61" t="n"/>
    </row>
    <row r="3096" ht="14.25" customHeight="1" s="86">
      <c r="E3096" s="53" t="inlineStr">
        <is>
          <t>WI</t>
        </is>
      </c>
      <c r="F3096" s="53" t="inlineStr">
        <is>
          <t>DODGE</t>
        </is>
      </c>
      <c r="G3096" s="59" t="n"/>
      <c r="X3096" s="61" t="n"/>
      <c r="Y3096" s="61" t="n"/>
    </row>
    <row r="3097" ht="14.25" customHeight="1" s="86">
      <c r="E3097" s="53" t="inlineStr">
        <is>
          <t>WI</t>
        </is>
      </c>
      <c r="F3097" s="53" t="inlineStr">
        <is>
          <t>DOOR</t>
        </is>
      </c>
      <c r="G3097" s="59" t="n"/>
      <c r="X3097" s="61" t="n"/>
      <c r="Y3097" s="61" t="n"/>
    </row>
    <row r="3098" ht="14.25" customHeight="1" s="86">
      <c r="E3098" s="53" t="inlineStr">
        <is>
          <t>WI</t>
        </is>
      </c>
      <c r="F3098" s="53" t="inlineStr">
        <is>
          <t>DOUGLAS</t>
        </is>
      </c>
      <c r="G3098" s="59" t="n"/>
      <c r="X3098" s="61" t="n"/>
      <c r="Y3098" s="61" t="n"/>
    </row>
    <row r="3099" ht="14.25" customHeight="1" s="86">
      <c r="E3099" s="53" t="inlineStr">
        <is>
          <t>WI</t>
        </is>
      </c>
      <c r="F3099" s="53" t="inlineStr">
        <is>
          <t>DUNN</t>
        </is>
      </c>
      <c r="G3099" s="59" t="n"/>
      <c r="X3099" s="61" t="n"/>
      <c r="Y3099" s="61" t="n"/>
    </row>
    <row r="3100" ht="14.25" customHeight="1" s="86">
      <c r="E3100" s="53" t="inlineStr">
        <is>
          <t>WI</t>
        </is>
      </c>
      <c r="F3100" s="53" t="inlineStr">
        <is>
          <t>EAU CLAIRE</t>
        </is>
      </c>
      <c r="G3100" s="59" t="n"/>
      <c r="X3100" s="61" t="n"/>
      <c r="Y3100" s="61" t="n"/>
    </row>
    <row r="3101" ht="14.25" customHeight="1" s="86">
      <c r="E3101" s="53" t="inlineStr">
        <is>
          <t>WI</t>
        </is>
      </c>
      <c r="F3101" s="53" t="inlineStr">
        <is>
          <t>FLORENCE</t>
        </is>
      </c>
      <c r="G3101" s="59" t="n"/>
      <c r="X3101" s="61" t="n"/>
      <c r="Y3101" s="61" t="n"/>
    </row>
    <row r="3102" ht="14.25" customHeight="1" s="86">
      <c r="E3102" s="53" t="inlineStr">
        <is>
          <t>WI</t>
        </is>
      </c>
      <c r="F3102" s="53" t="inlineStr">
        <is>
          <t>FOND DU LAC</t>
        </is>
      </c>
      <c r="G3102" s="59" t="n"/>
      <c r="X3102" s="61" t="n"/>
      <c r="Y3102" s="61" t="n"/>
    </row>
    <row r="3103" ht="14.25" customHeight="1" s="86">
      <c r="E3103" s="53" t="inlineStr">
        <is>
          <t>WI</t>
        </is>
      </c>
      <c r="F3103" s="53" t="inlineStr">
        <is>
          <t>FOREST</t>
        </is>
      </c>
      <c r="G3103" s="59" t="n"/>
      <c r="X3103" s="61" t="n"/>
      <c r="Y3103" s="61" t="n"/>
    </row>
    <row r="3104" ht="14.25" customHeight="1" s="86">
      <c r="E3104" s="53" t="inlineStr">
        <is>
          <t>WI</t>
        </is>
      </c>
      <c r="F3104" s="53" t="inlineStr">
        <is>
          <t>GRANT</t>
        </is>
      </c>
      <c r="G3104" s="59" t="n"/>
      <c r="X3104" s="61" t="n"/>
      <c r="Y3104" s="61" t="n"/>
    </row>
    <row r="3105" ht="14.25" customHeight="1" s="86">
      <c r="E3105" s="53" t="inlineStr">
        <is>
          <t>WI</t>
        </is>
      </c>
      <c r="F3105" s="53" t="inlineStr">
        <is>
          <t>GREEN</t>
        </is>
      </c>
      <c r="G3105" s="59" t="n"/>
      <c r="X3105" s="61" t="n"/>
      <c r="Y3105" s="61" t="n"/>
    </row>
    <row r="3106" ht="14.25" customHeight="1" s="86">
      <c r="E3106" s="53" t="inlineStr">
        <is>
          <t>WI</t>
        </is>
      </c>
      <c r="F3106" s="53" t="inlineStr">
        <is>
          <t>GREEN LAKE</t>
        </is>
      </c>
      <c r="G3106" s="59" t="n"/>
      <c r="X3106" s="61" t="n"/>
      <c r="Y3106" s="61" t="n"/>
    </row>
    <row r="3107" ht="14.25" customHeight="1" s="86">
      <c r="E3107" s="53" t="inlineStr">
        <is>
          <t>WI</t>
        </is>
      </c>
      <c r="F3107" s="53" t="inlineStr">
        <is>
          <t>IOWA</t>
        </is>
      </c>
      <c r="G3107" s="59" t="n"/>
      <c r="X3107" s="61" t="n"/>
      <c r="Y3107" s="61" t="n"/>
    </row>
    <row r="3108" ht="14.25" customHeight="1" s="86">
      <c r="E3108" s="53" t="inlineStr">
        <is>
          <t>WI</t>
        </is>
      </c>
      <c r="F3108" s="53" t="inlineStr">
        <is>
          <t>IRON</t>
        </is>
      </c>
      <c r="G3108" s="59" t="n"/>
      <c r="X3108" s="61" t="n"/>
      <c r="Y3108" s="61" t="n"/>
    </row>
    <row r="3109" ht="14.25" customHeight="1" s="86">
      <c r="E3109" s="53" t="inlineStr">
        <is>
          <t>WI</t>
        </is>
      </c>
      <c r="F3109" s="53" t="inlineStr">
        <is>
          <t>JACKSON</t>
        </is>
      </c>
      <c r="G3109" s="59" t="n"/>
      <c r="X3109" s="61" t="n"/>
      <c r="Y3109" s="61" t="n"/>
    </row>
    <row r="3110" ht="14.25" customHeight="1" s="86">
      <c r="E3110" s="53" t="inlineStr">
        <is>
          <t>WI</t>
        </is>
      </c>
      <c r="F3110" s="53" t="inlineStr">
        <is>
          <t>JEFFERSON</t>
        </is>
      </c>
      <c r="G3110" s="59" t="n"/>
      <c r="X3110" s="61" t="n"/>
      <c r="Y3110" s="61" t="n"/>
    </row>
    <row r="3111" ht="14.25" customHeight="1" s="86">
      <c r="E3111" s="53" t="inlineStr">
        <is>
          <t>WI</t>
        </is>
      </c>
      <c r="F3111" s="53" t="inlineStr">
        <is>
          <t>JUNEAU</t>
        </is>
      </c>
      <c r="G3111" s="59" t="n"/>
      <c r="X3111" s="61" t="n"/>
      <c r="Y3111" s="61" t="n"/>
    </row>
    <row r="3112" ht="14.25" customHeight="1" s="86">
      <c r="E3112" s="53" t="inlineStr">
        <is>
          <t>WI</t>
        </is>
      </c>
      <c r="F3112" s="53" t="inlineStr">
        <is>
          <t>KENOSHA</t>
        </is>
      </c>
      <c r="G3112" s="59" t="n"/>
      <c r="X3112" s="61" t="n"/>
      <c r="Y3112" s="61" t="n"/>
    </row>
    <row r="3113" ht="14.25" customHeight="1" s="86">
      <c r="E3113" s="53" t="inlineStr">
        <is>
          <t>WI</t>
        </is>
      </c>
      <c r="F3113" s="53" t="inlineStr">
        <is>
          <t>KEWAUNEE</t>
        </is>
      </c>
      <c r="G3113" s="59" t="n"/>
      <c r="X3113" s="61" t="n"/>
      <c r="Y3113" s="61" t="n"/>
    </row>
    <row r="3114" ht="14.25" customHeight="1" s="86">
      <c r="E3114" s="53" t="inlineStr">
        <is>
          <t>WI</t>
        </is>
      </c>
      <c r="F3114" s="53" t="inlineStr">
        <is>
          <t>LA CROSSE</t>
        </is>
      </c>
      <c r="G3114" s="59" t="n"/>
      <c r="X3114" s="61" t="n"/>
      <c r="Y3114" s="61" t="n"/>
    </row>
    <row r="3115" ht="14.25" customHeight="1" s="86">
      <c r="E3115" s="53" t="inlineStr">
        <is>
          <t>WI</t>
        </is>
      </c>
      <c r="F3115" s="53" t="inlineStr">
        <is>
          <t>LAFAYETTE</t>
        </is>
      </c>
      <c r="G3115" s="59" t="n"/>
      <c r="X3115" s="61" t="n"/>
      <c r="Y3115" s="61" t="n"/>
    </row>
    <row r="3116" ht="14.25" customHeight="1" s="86">
      <c r="E3116" s="53" t="inlineStr">
        <is>
          <t>WI</t>
        </is>
      </c>
      <c r="F3116" s="53" t="inlineStr">
        <is>
          <t>LANGLADE</t>
        </is>
      </c>
      <c r="G3116" s="59" t="n"/>
      <c r="X3116" s="61" t="n"/>
      <c r="Y3116" s="61" t="n"/>
    </row>
    <row r="3117" ht="14.25" customHeight="1" s="86">
      <c r="E3117" s="53" t="inlineStr">
        <is>
          <t>WI</t>
        </is>
      </c>
      <c r="F3117" s="53" t="inlineStr">
        <is>
          <t>LINCOLN</t>
        </is>
      </c>
      <c r="G3117" s="59" t="n"/>
      <c r="X3117" s="61" t="n"/>
      <c r="Y3117" s="61" t="n"/>
    </row>
    <row r="3118" ht="14.25" customHeight="1" s="86">
      <c r="E3118" s="53" t="inlineStr">
        <is>
          <t>WI</t>
        </is>
      </c>
      <c r="F3118" s="53" t="inlineStr">
        <is>
          <t>MANITOWOC</t>
        </is>
      </c>
      <c r="G3118" s="59" t="n"/>
      <c r="X3118" s="61" t="n"/>
      <c r="Y3118" s="61" t="n"/>
    </row>
    <row r="3119" ht="14.25" customHeight="1" s="86">
      <c r="E3119" s="53" t="inlineStr">
        <is>
          <t>WI</t>
        </is>
      </c>
      <c r="F3119" s="53" t="inlineStr">
        <is>
          <t>MARATHON</t>
        </is>
      </c>
      <c r="G3119" s="59" t="n"/>
      <c r="X3119" s="61" t="n"/>
      <c r="Y3119" s="61" t="n"/>
    </row>
    <row r="3120" ht="14.25" customHeight="1" s="86">
      <c r="E3120" s="53" t="inlineStr">
        <is>
          <t>WI</t>
        </is>
      </c>
      <c r="F3120" s="53" t="inlineStr">
        <is>
          <t>MARINETTE</t>
        </is>
      </c>
      <c r="G3120" s="59" t="n"/>
      <c r="X3120" s="61" t="n"/>
      <c r="Y3120" s="61" t="n"/>
    </row>
    <row r="3121" ht="14.25" customHeight="1" s="86">
      <c r="E3121" s="53" t="inlineStr">
        <is>
          <t>WI</t>
        </is>
      </c>
      <c r="F3121" s="53" t="inlineStr">
        <is>
          <t>MARQUETTE</t>
        </is>
      </c>
      <c r="G3121" s="59" t="n"/>
      <c r="X3121" s="61" t="n"/>
      <c r="Y3121" s="61" t="n"/>
    </row>
    <row r="3122" ht="14.25" customHeight="1" s="86">
      <c r="E3122" s="53" t="inlineStr">
        <is>
          <t>WI</t>
        </is>
      </c>
      <c r="F3122" s="53" t="inlineStr">
        <is>
          <t>MENOMINEE</t>
        </is>
      </c>
      <c r="G3122" s="59" t="n"/>
      <c r="X3122" s="61" t="n"/>
      <c r="Y3122" s="61" t="n"/>
    </row>
    <row r="3123" ht="14.25" customHeight="1" s="86">
      <c r="E3123" s="53" t="inlineStr">
        <is>
          <t>WI</t>
        </is>
      </c>
      <c r="F3123" s="53" t="inlineStr">
        <is>
          <t>MILWAUKEE</t>
        </is>
      </c>
      <c r="G3123" s="59" t="n"/>
      <c r="X3123" s="61" t="n"/>
      <c r="Y3123" s="61" t="n"/>
    </row>
    <row r="3124" ht="14.25" customHeight="1" s="86">
      <c r="E3124" s="53" t="inlineStr">
        <is>
          <t>WI</t>
        </is>
      </c>
      <c r="F3124" s="53" t="inlineStr">
        <is>
          <t>MONROE</t>
        </is>
      </c>
      <c r="G3124" s="59" t="n"/>
      <c r="X3124" s="61" t="n"/>
      <c r="Y3124" s="61" t="n"/>
    </row>
    <row r="3125" ht="14.25" customHeight="1" s="86">
      <c r="E3125" s="53" t="inlineStr">
        <is>
          <t>WI</t>
        </is>
      </c>
      <c r="F3125" s="53" t="inlineStr">
        <is>
          <t>OCONTO</t>
        </is>
      </c>
      <c r="G3125" s="59" t="n"/>
      <c r="X3125" s="61" t="n"/>
      <c r="Y3125" s="61" t="n"/>
    </row>
    <row r="3126" ht="14.25" customHeight="1" s="86">
      <c r="E3126" s="53" t="inlineStr">
        <is>
          <t>WI</t>
        </is>
      </c>
      <c r="F3126" s="53" t="inlineStr">
        <is>
          <t>ONEIDA</t>
        </is>
      </c>
      <c r="G3126" s="59" t="n"/>
      <c r="X3126" s="61" t="n"/>
      <c r="Y3126" s="61" t="n"/>
    </row>
    <row r="3127" ht="14.25" customHeight="1" s="86">
      <c r="E3127" s="53" t="inlineStr">
        <is>
          <t>WI</t>
        </is>
      </c>
      <c r="F3127" s="53" t="inlineStr">
        <is>
          <t>OUTAGAMIE</t>
        </is>
      </c>
      <c r="G3127" s="59" t="n"/>
      <c r="X3127" s="61" t="n"/>
      <c r="Y3127" s="61" t="n"/>
    </row>
    <row r="3128" ht="14.25" customHeight="1" s="86">
      <c r="E3128" s="53" t="inlineStr">
        <is>
          <t>WI</t>
        </is>
      </c>
      <c r="F3128" s="53" t="inlineStr">
        <is>
          <t>OZAUKEE</t>
        </is>
      </c>
      <c r="G3128" s="59" t="n"/>
      <c r="X3128" s="61" t="n"/>
      <c r="Y3128" s="61" t="n"/>
    </row>
    <row r="3129" ht="14.25" customHeight="1" s="86">
      <c r="E3129" s="53" t="inlineStr">
        <is>
          <t>WI</t>
        </is>
      </c>
      <c r="F3129" s="53" t="inlineStr">
        <is>
          <t>PEPIN</t>
        </is>
      </c>
      <c r="G3129" s="59" t="n"/>
      <c r="X3129" s="61" t="n"/>
      <c r="Y3129" s="61" t="n"/>
    </row>
    <row r="3130" ht="14.25" customHeight="1" s="86">
      <c r="E3130" s="53" t="inlineStr">
        <is>
          <t>WI</t>
        </is>
      </c>
      <c r="F3130" s="53" t="inlineStr">
        <is>
          <t>PIERCE</t>
        </is>
      </c>
      <c r="G3130" s="59" t="n"/>
      <c r="X3130" s="61" t="n"/>
      <c r="Y3130" s="61" t="n"/>
    </row>
    <row r="3131" ht="14.25" customHeight="1" s="86">
      <c r="E3131" s="53" t="inlineStr">
        <is>
          <t>WI</t>
        </is>
      </c>
      <c r="F3131" s="53" t="inlineStr">
        <is>
          <t>POLK</t>
        </is>
      </c>
      <c r="G3131" s="59" t="n"/>
      <c r="X3131" s="61" t="n"/>
      <c r="Y3131" s="61" t="n"/>
    </row>
    <row r="3132" ht="14.25" customHeight="1" s="86">
      <c r="E3132" s="53" t="inlineStr">
        <is>
          <t>WI</t>
        </is>
      </c>
      <c r="F3132" s="53" t="inlineStr">
        <is>
          <t>PORTAGE</t>
        </is>
      </c>
      <c r="G3132" s="59" t="n"/>
      <c r="X3132" s="61" t="n"/>
      <c r="Y3132" s="61" t="n"/>
    </row>
    <row r="3133" ht="14.25" customHeight="1" s="86">
      <c r="E3133" s="53" t="inlineStr">
        <is>
          <t>WI</t>
        </is>
      </c>
      <c r="F3133" s="53" t="inlineStr">
        <is>
          <t>PRICE</t>
        </is>
      </c>
      <c r="G3133" s="59" t="n"/>
      <c r="X3133" s="61" t="n"/>
      <c r="Y3133" s="61" t="n"/>
    </row>
    <row r="3134" ht="14.25" customHeight="1" s="86">
      <c r="E3134" s="53" t="inlineStr">
        <is>
          <t>WI</t>
        </is>
      </c>
      <c r="F3134" s="53" t="inlineStr">
        <is>
          <t>RACINE</t>
        </is>
      </c>
      <c r="G3134" s="59" t="n"/>
      <c r="X3134" s="61" t="n"/>
      <c r="Y3134" s="61" t="n"/>
    </row>
    <row r="3135" ht="14.25" customHeight="1" s="86">
      <c r="E3135" s="53" t="inlineStr">
        <is>
          <t>WI</t>
        </is>
      </c>
      <c r="F3135" s="53" t="inlineStr">
        <is>
          <t>RICHLAND</t>
        </is>
      </c>
      <c r="G3135" s="59" t="n"/>
      <c r="X3135" s="61" t="n"/>
      <c r="Y3135" s="61" t="n"/>
    </row>
    <row r="3136" ht="14.25" customHeight="1" s="86">
      <c r="E3136" s="53" t="inlineStr">
        <is>
          <t>WI</t>
        </is>
      </c>
      <c r="F3136" s="53" t="inlineStr">
        <is>
          <t>ROCK</t>
        </is>
      </c>
      <c r="G3136" s="59" t="n"/>
      <c r="X3136" s="61" t="n"/>
      <c r="Y3136" s="61" t="n"/>
    </row>
    <row r="3137" ht="14.25" customHeight="1" s="86">
      <c r="E3137" s="53" t="inlineStr">
        <is>
          <t>WI</t>
        </is>
      </c>
      <c r="F3137" s="53" t="inlineStr">
        <is>
          <t>RUSK</t>
        </is>
      </c>
      <c r="G3137" s="59" t="n"/>
      <c r="X3137" s="61" t="n"/>
      <c r="Y3137" s="61" t="n"/>
    </row>
    <row r="3138" ht="14.25" customHeight="1" s="86">
      <c r="E3138" s="53" t="inlineStr">
        <is>
          <t>WI</t>
        </is>
      </c>
      <c r="F3138" s="53" t="inlineStr">
        <is>
          <t>SAINT CROIX</t>
        </is>
      </c>
      <c r="G3138" s="59" t="n"/>
      <c r="X3138" s="61" t="n"/>
      <c r="Y3138" s="61" t="n"/>
    </row>
    <row r="3139" ht="14.25" customHeight="1" s="86">
      <c r="E3139" s="53" t="inlineStr">
        <is>
          <t>WI</t>
        </is>
      </c>
      <c r="F3139" s="53" t="inlineStr">
        <is>
          <t>SAUK</t>
        </is>
      </c>
      <c r="G3139" s="59" t="n"/>
      <c r="X3139" s="61" t="n"/>
      <c r="Y3139" s="61" t="n"/>
    </row>
    <row r="3140" ht="14.25" customHeight="1" s="86">
      <c r="E3140" s="53" t="inlineStr">
        <is>
          <t>WI</t>
        </is>
      </c>
      <c r="F3140" s="53" t="inlineStr">
        <is>
          <t>SAWYER</t>
        </is>
      </c>
      <c r="G3140" s="59" t="n"/>
      <c r="X3140" s="61" t="n"/>
      <c r="Y3140" s="61" t="n"/>
    </row>
    <row r="3141" ht="14.25" customHeight="1" s="86">
      <c r="E3141" s="53" t="inlineStr">
        <is>
          <t>WI</t>
        </is>
      </c>
      <c r="F3141" s="53" t="inlineStr">
        <is>
          <t>SHAWANO</t>
        </is>
      </c>
      <c r="G3141" s="59" t="n"/>
      <c r="X3141" s="61" t="n"/>
      <c r="Y3141" s="61" t="n"/>
    </row>
    <row r="3142" ht="14.25" customHeight="1" s="86">
      <c r="E3142" s="53" t="inlineStr">
        <is>
          <t>WI</t>
        </is>
      </c>
      <c r="F3142" s="53" t="inlineStr">
        <is>
          <t>SHEBOYGAN</t>
        </is>
      </c>
      <c r="G3142" s="59" t="n"/>
      <c r="X3142" s="61" t="n"/>
      <c r="Y3142" s="61" t="n"/>
    </row>
    <row r="3143" ht="14.25" customHeight="1" s="86">
      <c r="E3143" s="53" t="inlineStr">
        <is>
          <t>WI</t>
        </is>
      </c>
      <c r="F3143" s="53" t="inlineStr">
        <is>
          <t>TAYLOR</t>
        </is>
      </c>
      <c r="G3143" s="59" t="n"/>
      <c r="X3143" s="61" t="n"/>
      <c r="Y3143" s="61" t="n"/>
    </row>
    <row r="3144" ht="14.25" customHeight="1" s="86">
      <c r="E3144" s="53" t="inlineStr">
        <is>
          <t>WI</t>
        </is>
      </c>
      <c r="F3144" s="53" t="inlineStr">
        <is>
          <t>TREMPEALEAU</t>
        </is>
      </c>
      <c r="G3144" s="59" t="n"/>
      <c r="X3144" s="61" t="n"/>
      <c r="Y3144" s="61" t="n"/>
    </row>
    <row r="3145" ht="14.25" customHeight="1" s="86">
      <c r="E3145" s="53" t="inlineStr">
        <is>
          <t>WI</t>
        </is>
      </c>
      <c r="F3145" s="53" t="inlineStr">
        <is>
          <t>VERNON</t>
        </is>
      </c>
      <c r="G3145" s="59" t="n"/>
      <c r="X3145" s="61" t="n"/>
      <c r="Y3145" s="61" t="n"/>
    </row>
    <row r="3146" ht="14.25" customHeight="1" s="86">
      <c r="E3146" s="70" t="inlineStr">
        <is>
          <t>WI</t>
        </is>
      </c>
      <c r="F3146" s="70" t="inlineStr">
        <is>
          <t>VILAS</t>
        </is>
      </c>
      <c r="X3146" s="61" t="n"/>
      <c r="Y3146" s="61" t="n"/>
    </row>
    <row r="3147" ht="14.25" customHeight="1" s="86">
      <c r="E3147" s="70" t="inlineStr">
        <is>
          <t>WI</t>
        </is>
      </c>
      <c r="F3147" s="70" t="inlineStr">
        <is>
          <t>WALWORTH</t>
        </is>
      </c>
      <c r="X3147" s="61" t="n"/>
      <c r="Y3147" s="61" t="n"/>
    </row>
    <row r="3148" ht="14.25" customHeight="1" s="86">
      <c r="E3148" s="70" t="inlineStr">
        <is>
          <t>WI</t>
        </is>
      </c>
      <c r="F3148" s="70" t="inlineStr">
        <is>
          <t>WASHBURN</t>
        </is>
      </c>
      <c r="X3148" s="61" t="n"/>
      <c r="Y3148" s="61" t="n"/>
    </row>
    <row r="3149" ht="14.25" customHeight="1" s="86">
      <c r="E3149" s="70" t="inlineStr">
        <is>
          <t>WI</t>
        </is>
      </c>
      <c r="F3149" s="70" t="inlineStr">
        <is>
          <t>WASHINGTON</t>
        </is>
      </c>
      <c r="X3149" s="61" t="n"/>
      <c r="Y3149" s="61" t="n"/>
    </row>
    <row r="3150" ht="14.25" customHeight="1" s="86">
      <c r="E3150" s="70" t="inlineStr">
        <is>
          <t>WI</t>
        </is>
      </c>
      <c r="F3150" s="70" t="inlineStr">
        <is>
          <t>WAUKESHA</t>
        </is>
      </c>
      <c r="X3150" s="61" t="n"/>
      <c r="Y3150" s="61" t="n"/>
    </row>
    <row r="3151" ht="14.25" customHeight="1" s="86">
      <c r="E3151" s="70" t="inlineStr">
        <is>
          <t>WI</t>
        </is>
      </c>
      <c r="F3151" s="70" t="inlineStr">
        <is>
          <t>WAUPACA</t>
        </is>
      </c>
      <c r="X3151" s="61" t="n"/>
      <c r="Y3151" s="61" t="n"/>
    </row>
    <row r="3152" ht="14.25" customHeight="1" s="86">
      <c r="E3152" s="70" t="inlineStr">
        <is>
          <t>WI</t>
        </is>
      </c>
      <c r="F3152" s="70" t="inlineStr">
        <is>
          <t>WAUSHARA</t>
        </is>
      </c>
      <c r="X3152" s="61" t="n"/>
      <c r="Y3152" s="61" t="n"/>
    </row>
    <row r="3153" ht="14.25" customHeight="1" s="86">
      <c r="E3153" s="70" t="inlineStr">
        <is>
          <t>WI</t>
        </is>
      </c>
      <c r="F3153" s="70" t="inlineStr">
        <is>
          <t>WINNEBAGO</t>
        </is>
      </c>
      <c r="X3153" s="61" t="n"/>
      <c r="Y3153" s="61" t="n"/>
    </row>
    <row r="3154" ht="14.25" customHeight="1" s="86">
      <c r="E3154" s="70" t="inlineStr">
        <is>
          <t>WI</t>
        </is>
      </c>
      <c r="F3154" s="70" t="inlineStr">
        <is>
          <t>WOOD</t>
        </is>
      </c>
      <c r="X3154" s="61" t="n"/>
      <c r="Y3154" s="61" t="n"/>
    </row>
    <row r="3155" ht="14.25" customHeight="1" s="86">
      <c r="E3155" s="70" t="inlineStr">
        <is>
          <t>WV</t>
        </is>
      </c>
      <c r="F3155" s="70" t="inlineStr">
        <is>
          <t>BARBOUR</t>
        </is>
      </c>
      <c r="X3155" s="61" t="n"/>
      <c r="Y3155" s="61" t="n"/>
    </row>
    <row r="3156" ht="14.25" customHeight="1" s="86">
      <c r="E3156" s="70" t="inlineStr">
        <is>
          <t>WV</t>
        </is>
      </c>
      <c r="F3156" s="70" t="inlineStr">
        <is>
          <t>BERKELEY</t>
        </is>
      </c>
      <c r="X3156" s="61" t="n"/>
      <c r="Y3156" s="61" t="n"/>
    </row>
    <row r="3157" ht="14.25" customHeight="1" s="86">
      <c r="E3157" s="70" t="inlineStr">
        <is>
          <t>WV</t>
        </is>
      </c>
      <c r="F3157" s="70" t="inlineStr">
        <is>
          <t>BOONE</t>
        </is>
      </c>
      <c r="X3157" s="61" t="n"/>
      <c r="Y3157" s="61" t="n"/>
    </row>
    <row r="3158" ht="14.25" customHeight="1" s="86">
      <c r="E3158" s="70" t="inlineStr">
        <is>
          <t>WV</t>
        </is>
      </c>
      <c r="F3158" s="70" t="inlineStr">
        <is>
          <t>BRAXTON</t>
        </is>
      </c>
      <c r="X3158" s="61" t="n"/>
      <c r="Y3158" s="61" t="n"/>
    </row>
    <row r="3159" ht="14.25" customHeight="1" s="86">
      <c r="E3159" s="70" t="inlineStr">
        <is>
          <t>WV</t>
        </is>
      </c>
      <c r="F3159" s="70" t="inlineStr">
        <is>
          <t>BROOKE</t>
        </is>
      </c>
      <c r="X3159" s="61" t="n"/>
      <c r="Y3159" s="61" t="n"/>
    </row>
    <row r="3160" ht="14.25" customHeight="1" s="86">
      <c r="E3160" s="70" t="inlineStr">
        <is>
          <t>WV</t>
        </is>
      </c>
      <c r="F3160" s="70" t="inlineStr">
        <is>
          <t>CABELL</t>
        </is>
      </c>
      <c r="X3160" s="61" t="n"/>
      <c r="Y3160" s="61" t="n"/>
    </row>
    <row r="3161" ht="14.25" customHeight="1" s="86">
      <c r="E3161" s="70" t="inlineStr">
        <is>
          <t>WV</t>
        </is>
      </c>
      <c r="F3161" s="70" t="inlineStr">
        <is>
          <t>CALHOUN</t>
        </is>
      </c>
      <c r="X3161" s="61" t="n"/>
      <c r="Y3161" s="61" t="n"/>
    </row>
    <row r="3162" ht="14.25" customHeight="1" s="86">
      <c r="E3162" s="70" t="inlineStr">
        <is>
          <t>WV</t>
        </is>
      </c>
      <c r="F3162" s="70" t="inlineStr">
        <is>
          <t>CLAY</t>
        </is>
      </c>
      <c r="X3162" s="61" t="n"/>
      <c r="Y3162" s="61" t="n"/>
    </row>
    <row r="3163" ht="14.25" customHeight="1" s="86">
      <c r="E3163" s="70" t="inlineStr">
        <is>
          <t>WV</t>
        </is>
      </c>
      <c r="F3163" s="70" t="inlineStr">
        <is>
          <t>DODDRIDGE</t>
        </is>
      </c>
      <c r="X3163" s="61" t="n"/>
      <c r="Y3163" s="61" t="n"/>
    </row>
    <row r="3164" ht="14.25" customHeight="1" s="86">
      <c r="E3164" s="70" t="inlineStr">
        <is>
          <t>WV</t>
        </is>
      </c>
      <c r="F3164" s="70" t="inlineStr">
        <is>
          <t>FAYETTE</t>
        </is>
      </c>
      <c r="X3164" s="61" t="n"/>
      <c r="Y3164" s="61" t="n"/>
    </row>
    <row r="3165" ht="14.25" customHeight="1" s="86">
      <c r="E3165" s="70" t="inlineStr">
        <is>
          <t>WV</t>
        </is>
      </c>
      <c r="F3165" s="70" t="inlineStr">
        <is>
          <t>GILMER</t>
        </is>
      </c>
      <c r="X3165" s="61" t="n"/>
      <c r="Y3165" s="61" t="n"/>
    </row>
    <row r="3166" ht="14.25" customHeight="1" s="86">
      <c r="E3166" s="70" t="inlineStr">
        <is>
          <t>WV</t>
        </is>
      </c>
      <c r="F3166" s="70" t="inlineStr">
        <is>
          <t>GRANT</t>
        </is>
      </c>
      <c r="X3166" s="61" t="n"/>
      <c r="Y3166" s="61" t="n"/>
    </row>
    <row r="3167" ht="14.25" customHeight="1" s="86">
      <c r="E3167" s="70" t="inlineStr">
        <is>
          <t>WV</t>
        </is>
      </c>
      <c r="F3167" s="70" t="inlineStr">
        <is>
          <t>GREENBRIER</t>
        </is>
      </c>
      <c r="X3167" s="61" t="n"/>
      <c r="Y3167" s="61" t="n"/>
    </row>
    <row r="3168" ht="14.25" customHeight="1" s="86">
      <c r="E3168" s="70" t="inlineStr">
        <is>
          <t>WV</t>
        </is>
      </c>
      <c r="F3168" s="70" t="inlineStr">
        <is>
          <t>HAMPSHIRE</t>
        </is>
      </c>
      <c r="X3168" s="61" t="n"/>
      <c r="Y3168" s="61" t="n"/>
    </row>
    <row r="3169" ht="14.25" customHeight="1" s="86">
      <c r="E3169" s="70" t="inlineStr">
        <is>
          <t>WV</t>
        </is>
      </c>
      <c r="F3169" s="70" t="inlineStr">
        <is>
          <t>HANCOCK</t>
        </is>
      </c>
      <c r="X3169" s="61" t="n"/>
      <c r="Y3169" s="61" t="n"/>
    </row>
    <row r="3170" ht="14.25" customHeight="1" s="86">
      <c r="E3170" s="70" t="inlineStr">
        <is>
          <t>WV</t>
        </is>
      </c>
      <c r="F3170" s="70" t="inlineStr">
        <is>
          <t>HARDY</t>
        </is>
      </c>
      <c r="X3170" s="61" t="n"/>
      <c r="Y3170" s="61" t="n"/>
    </row>
    <row r="3171" ht="14.25" customHeight="1" s="86">
      <c r="E3171" s="70" t="inlineStr">
        <is>
          <t>WV</t>
        </is>
      </c>
      <c r="F3171" s="70" t="inlineStr">
        <is>
          <t>HARRISON</t>
        </is>
      </c>
      <c r="X3171" s="61" t="n"/>
      <c r="Y3171" s="61" t="n"/>
    </row>
    <row r="3172" ht="14.25" customHeight="1" s="86">
      <c r="E3172" s="70" t="inlineStr">
        <is>
          <t>WV</t>
        </is>
      </c>
      <c r="F3172" s="70" t="inlineStr">
        <is>
          <t>JACKSON</t>
        </is>
      </c>
      <c r="X3172" s="61" t="n"/>
      <c r="Y3172" s="61" t="n"/>
    </row>
    <row r="3173" ht="14.25" customHeight="1" s="86">
      <c r="E3173" s="70" t="inlineStr">
        <is>
          <t>WV</t>
        </is>
      </c>
      <c r="F3173" s="70" t="inlineStr">
        <is>
          <t>JEFFERSON</t>
        </is>
      </c>
      <c r="X3173" s="61" t="n"/>
      <c r="Y3173" s="61" t="n"/>
    </row>
    <row r="3174" ht="14.25" customHeight="1" s="86">
      <c r="E3174" s="70" t="inlineStr">
        <is>
          <t>WV</t>
        </is>
      </c>
      <c r="F3174" s="70" t="inlineStr">
        <is>
          <t>KANAWHA</t>
        </is>
      </c>
      <c r="X3174" s="61" t="n"/>
      <c r="Y3174" s="61" t="n"/>
    </row>
    <row r="3175" ht="14.25" customHeight="1" s="86">
      <c r="E3175" s="70" t="inlineStr">
        <is>
          <t>WV</t>
        </is>
      </c>
      <c r="F3175" s="70" t="inlineStr">
        <is>
          <t>LEWIS</t>
        </is>
      </c>
      <c r="X3175" s="61" t="n"/>
      <c r="Y3175" s="61" t="n"/>
    </row>
    <row r="3176" ht="14.25" customHeight="1" s="86">
      <c r="E3176" s="70" t="inlineStr">
        <is>
          <t>WV</t>
        </is>
      </c>
      <c r="F3176" s="70" t="inlineStr">
        <is>
          <t>LINCOLN</t>
        </is>
      </c>
      <c r="X3176" s="61" t="n"/>
      <c r="Y3176" s="61" t="n"/>
    </row>
    <row r="3177" ht="14.25" customHeight="1" s="86">
      <c r="E3177" s="70" t="inlineStr">
        <is>
          <t>WV</t>
        </is>
      </c>
      <c r="F3177" s="70" t="inlineStr">
        <is>
          <t>LOGAN</t>
        </is>
      </c>
      <c r="X3177" s="61" t="n"/>
      <c r="Y3177" s="61" t="n"/>
    </row>
    <row r="3178" ht="14.25" customHeight="1" s="86">
      <c r="E3178" s="70" t="inlineStr">
        <is>
          <t>WV</t>
        </is>
      </c>
      <c r="F3178" s="70" t="inlineStr">
        <is>
          <t>MARION</t>
        </is>
      </c>
      <c r="X3178" s="61" t="n"/>
      <c r="Y3178" s="61" t="n"/>
    </row>
    <row r="3179" ht="14.25" customHeight="1" s="86">
      <c r="E3179" s="70" t="inlineStr">
        <is>
          <t>WV</t>
        </is>
      </c>
      <c r="F3179" s="70" t="inlineStr">
        <is>
          <t>MARSHALL</t>
        </is>
      </c>
      <c r="X3179" s="61" t="n"/>
      <c r="Y3179" s="61" t="n"/>
    </row>
    <row r="3180" ht="14.25" customHeight="1" s="86">
      <c r="E3180" s="70" t="inlineStr">
        <is>
          <t>WV</t>
        </is>
      </c>
      <c r="F3180" s="70" t="inlineStr">
        <is>
          <t>MASON</t>
        </is>
      </c>
      <c r="X3180" s="61" t="n"/>
      <c r="Y3180" s="61" t="n"/>
    </row>
    <row r="3181" ht="14.25" customHeight="1" s="86">
      <c r="E3181" s="70" t="inlineStr">
        <is>
          <t>WV</t>
        </is>
      </c>
      <c r="F3181" s="70" t="inlineStr">
        <is>
          <t>MCDOWELL</t>
        </is>
      </c>
      <c r="X3181" s="61" t="n"/>
      <c r="Y3181" s="61" t="n"/>
    </row>
    <row r="3182" ht="14.25" customHeight="1" s="86">
      <c r="E3182" s="70" t="inlineStr">
        <is>
          <t>WV</t>
        </is>
      </c>
      <c r="F3182" s="70" t="inlineStr">
        <is>
          <t>MERCER</t>
        </is>
      </c>
      <c r="X3182" s="61" t="n"/>
      <c r="Y3182" s="61" t="n"/>
    </row>
    <row r="3183" ht="14.25" customHeight="1" s="86">
      <c r="E3183" s="70" t="inlineStr">
        <is>
          <t>WV</t>
        </is>
      </c>
      <c r="F3183" s="70" t="inlineStr">
        <is>
          <t>MINERAL</t>
        </is>
      </c>
      <c r="X3183" s="61" t="n"/>
      <c r="Y3183" s="61" t="n"/>
    </row>
    <row r="3184" ht="14.25" customHeight="1" s="86">
      <c r="E3184" s="70" t="inlineStr">
        <is>
          <t>WV</t>
        </is>
      </c>
      <c r="F3184" s="70" t="inlineStr">
        <is>
          <t>MINGO</t>
        </is>
      </c>
      <c r="X3184" s="61" t="n"/>
      <c r="Y3184" s="61" t="n"/>
    </row>
    <row r="3185" ht="14.25" customHeight="1" s="86">
      <c r="E3185" s="70" t="inlineStr">
        <is>
          <t>WV</t>
        </is>
      </c>
      <c r="F3185" s="70" t="inlineStr">
        <is>
          <t>MONONGALIA</t>
        </is>
      </c>
      <c r="X3185" s="61" t="n"/>
      <c r="Y3185" s="61" t="n"/>
    </row>
    <row r="3186" ht="14.25" customHeight="1" s="86">
      <c r="E3186" s="70" t="inlineStr">
        <is>
          <t>WV</t>
        </is>
      </c>
      <c r="F3186" s="70" t="inlineStr">
        <is>
          <t>MONROE</t>
        </is>
      </c>
      <c r="X3186" s="61" t="n"/>
      <c r="Y3186" s="61" t="n"/>
    </row>
    <row r="3187" ht="14.25" customHeight="1" s="86">
      <c r="E3187" s="70" t="inlineStr">
        <is>
          <t>WV</t>
        </is>
      </c>
      <c r="F3187" s="70" t="inlineStr">
        <is>
          <t>MORGAN</t>
        </is>
      </c>
      <c r="X3187" s="61" t="n"/>
      <c r="Y3187" s="61" t="n"/>
    </row>
    <row r="3188" ht="14.25" customHeight="1" s="86">
      <c r="E3188" s="70" t="inlineStr">
        <is>
          <t>WV</t>
        </is>
      </c>
      <c r="F3188" s="70" t="inlineStr">
        <is>
          <t>NICHOLAS</t>
        </is>
      </c>
      <c r="X3188" s="61" t="n"/>
      <c r="Y3188" s="61" t="n"/>
    </row>
    <row r="3189" ht="14.25" customHeight="1" s="86">
      <c r="E3189" s="70" t="inlineStr">
        <is>
          <t>WV</t>
        </is>
      </c>
      <c r="F3189" s="70" t="inlineStr">
        <is>
          <t>OHIO</t>
        </is>
      </c>
      <c r="X3189" s="61" t="n"/>
      <c r="Y3189" s="61" t="n"/>
    </row>
    <row r="3190" ht="14.25" customHeight="1" s="86">
      <c r="E3190" s="70" t="inlineStr">
        <is>
          <t>WV</t>
        </is>
      </c>
      <c r="F3190" s="70" t="inlineStr">
        <is>
          <t>PENDLETON</t>
        </is>
      </c>
      <c r="X3190" s="61" t="n"/>
      <c r="Y3190" s="61" t="n"/>
    </row>
    <row r="3191" ht="14.25" customHeight="1" s="86">
      <c r="E3191" s="70" t="inlineStr">
        <is>
          <t>WV</t>
        </is>
      </c>
      <c r="F3191" s="70" t="inlineStr">
        <is>
          <t>PLEASANTS</t>
        </is>
      </c>
      <c r="X3191" s="61" t="n"/>
      <c r="Y3191" s="61" t="n"/>
    </row>
    <row r="3192" ht="14.25" customHeight="1" s="86">
      <c r="E3192" s="70" t="inlineStr">
        <is>
          <t>WV</t>
        </is>
      </c>
      <c r="F3192" s="70" t="inlineStr">
        <is>
          <t>POCAHONTAS</t>
        </is>
      </c>
      <c r="X3192" s="61" t="n"/>
      <c r="Y3192" s="61" t="n"/>
    </row>
    <row r="3193" ht="14.25" customHeight="1" s="86">
      <c r="E3193" s="70" t="inlineStr">
        <is>
          <t>WV</t>
        </is>
      </c>
      <c r="F3193" s="70" t="inlineStr">
        <is>
          <t>PRESTON</t>
        </is>
      </c>
      <c r="X3193" s="61" t="n"/>
      <c r="Y3193" s="61" t="n"/>
    </row>
    <row r="3194" ht="14.25" customHeight="1" s="86">
      <c r="E3194" s="70" t="inlineStr">
        <is>
          <t>WV</t>
        </is>
      </c>
      <c r="F3194" s="70" t="inlineStr">
        <is>
          <t>PUTNAM</t>
        </is>
      </c>
      <c r="X3194" s="61" t="n"/>
      <c r="Y3194" s="61" t="n"/>
    </row>
    <row r="3195" ht="14.25" customHeight="1" s="86">
      <c r="E3195" s="70" t="inlineStr">
        <is>
          <t>WV</t>
        </is>
      </c>
      <c r="F3195" s="70" t="inlineStr">
        <is>
          <t>RALEIGH</t>
        </is>
      </c>
      <c r="X3195" s="61" t="n"/>
      <c r="Y3195" s="61" t="n"/>
    </row>
    <row r="3196" ht="14.25" customHeight="1" s="86">
      <c r="E3196" s="70" t="inlineStr">
        <is>
          <t>WV</t>
        </is>
      </c>
      <c r="F3196" s="70" t="inlineStr">
        <is>
          <t>RANDOLPH</t>
        </is>
      </c>
      <c r="X3196" s="61" t="n"/>
      <c r="Y3196" s="61" t="n"/>
    </row>
    <row r="3197" ht="14.25" customHeight="1" s="86">
      <c r="E3197" s="70" t="inlineStr">
        <is>
          <t>WV</t>
        </is>
      </c>
      <c r="F3197" s="70" t="inlineStr">
        <is>
          <t>RITCHIE</t>
        </is>
      </c>
      <c r="X3197" s="61" t="n"/>
      <c r="Y3197" s="61" t="n"/>
    </row>
    <row r="3198" ht="14.25" customHeight="1" s="86">
      <c r="E3198" s="70" t="inlineStr">
        <is>
          <t>WV</t>
        </is>
      </c>
      <c r="F3198" s="70" t="inlineStr">
        <is>
          <t>ROANE</t>
        </is>
      </c>
      <c r="X3198" s="61" t="n"/>
      <c r="Y3198" s="61" t="n"/>
    </row>
    <row r="3199" ht="14.25" customHeight="1" s="86">
      <c r="E3199" s="70" t="inlineStr">
        <is>
          <t>WV</t>
        </is>
      </c>
      <c r="F3199" s="70" t="inlineStr">
        <is>
          <t>SUMMERS</t>
        </is>
      </c>
      <c r="X3199" s="61" t="n"/>
      <c r="Y3199" s="61" t="n"/>
    </row>
    <row r="3200" ht="14.25" customHeight="1" s="86">
      <c r="E3200" s="70" t="inlineStr">
        <is>
          <t>WV</t>
        </is>
      </c>
      <c r="F3200" s="70" t="inlineStr">
        <is>
          <t>TAYLOR</t>
        </is>
      </c>
      <c r="X3200" s="61" t="n"/>
      <c r="Y3200" s="61" t="n"/>
    </row>
    <row r="3201" ht="14.25" customHeight="1" s="86">
      <c r="E3201" s="70" t="inlineStr">
        <is>
          <t>WV</t>
        </is>
      </c>
      <c r="F3201" s="70" t="inlineStr">
        <is>
          <t>TUCKER</t>
        </is>
      </c>
      <c r="X3201" s="61" t="n"/>
      <c r="Y3201" s="61" t="n"/>
    </row>
    <row r="3202" ht="14.25" customHeight="1" s="86">
      <c r="E3202" s="70" t="inlineStr">
        <is>
          <t>WV</t>
        </is>
      </c>
      <c r="F3202" s="70" t="inlineStr">
        <is>
          <t>TYLER</t>
        </is>
      </c>
      <c r="X3202" s="61" t="n"/>
      <c r="Y3202" s="61" t="n"/>
    </row>
    <row r="3203" ht="14.25" customHeight="1" s="86">
      <c r="E3203" s="70" t="inlineStr">
        <is>
          <t>WV</t>
        </is>
      </c>
      <c r="F3203" s="70" t="inlineStr">
        <is>
          <t>UPSHUR</t>
        </is>
      </c>
      <c r="X3203" s="61" t="n"/>
      <c r="Y3203" s="61" t="n"/>
    </row>
    <row r="3204" ht="14.25" customHeight="1" s="86">
      <c r="E3204" s="70" t="inlineStr">
        <is>
          <t>WV</t>
        </is>
      </c>
      <c r="F3204" s="70" t="inlineStr">
        <is>
          <t>WAYNE</t>
        </is>
      </c>
      <c r="X3204" s="61" t="n"/>
      <c r="Y3204" s="61" t="n"/>
    </row>
    <row r="3205" ht="14.25" customHeight="1" s="86">
      <c r="E3205" s="70" t="inlineStr">
        <is>
          <t>WV</t>
        </is>
      </c>
      <c r="F3205" s="70" t="inlineStr">
        <is>
          <t>WEBSTER</t>
        </is>
      </c>
      <c r="X3205" s="61" t="n"/>
      <c r="Y3205" s="61" t="n"/>
    </row>
    <row r="3206" ht="14.25" customHeight="1" s="86">
      <c r="E3206" s="70" t="inlineStr">
        <is>
          <t>WV</t>
        </is>
      </c>
      <c r="F3206" s="70" t="inlineStr">
        <is>
          <t>WETZEL</t>
        </is>
      </c>
      <c r="X3206" s="61" t="n"/>
      <c r="Y3206" s="61" t="n"/>
    </row>
    <row r="3207" ht="14.25" customHeight="1" s="86">
      <c r="E3207" s="70" t="inlineStr">
        <is>
          <t>WV</t>
        </is>
      </c>
      <c r="F3207" s="70" t="inlineStr">
        <is>
          <t>WIRT</t>
        </is>
      </c>
      <c r="X3207" s="61" t="n"/>
      <c r="Y3207" s="61" t="n"/>
    </row>
    <row r="3208" ht="14.25" customHeight="1" s="86">
      <c r="E3208" s="70" t="inlineStr">
        <is>
          <t>WV</t>
        </is>
      </c>
      <c r="F3208" s="70" t="inlineStr">
        <is>
          <t>WOOD</t>
        </is>
      </c>
      <c r="X3208" s="61" t="n"/>
      <c r="Y3208" s="61" t="n"/>
    </row>
    <row r="3209" ht="14.25" customHeight="1" s="86">
      <c r="E3209" s="70" t="inlineStr">
        <is>
          <t>WV</t>
        </is>
      </c>
      <c r="F3209" s="70" t="inlineStr">
        <is>
          <t>WYOMING</t>
        </is>
      </c>
      <c r="X3209" s="61" t="n"/>
      <c r="Y3209" s="61" t="n"/>
    </row>
    <row r="3210" ht="14.25" customHeight="1" s="86">
      <c r="E3210" s="70" t="inlineStr">
        <is>
          <t>WY</t>
        </is>
      </c>
      <c r="F3210" s="70" t="inlineStr">
        <is>
          <t>ALBANY</t>
        </is>
      </c>
      <c r="X3210" s="61" t="n"/>
      <c r="Y3210" s="61" t="n"/>
    </row>
    <row r="3211" ht="14.25" customHeight="1" s="86">
      <c r="E3211" s="70" t="inlineStr">
        <is>
          <t>WY</t>
        </is>
      </c>
      <c r="F3211" s="70" t="inlineStr">
        <is>
          <t>BIG HORN</t>
        </is>
      </c>
      <c r="X3211" s="61" t="n"/>
      <c r="Y3211" s="61" t="n"/>
    </row>
    <row r="3212" ht="14.25" customHeight="1" s="86">
      <c r="E3212" s="70" t="inlineStr">
        <is>
          <t>WY</t>
        </is>
      </c>
      <c r="F3212" s="70" t="inlineStr">
        <is>
          <t>CAMPBELL</t>
        </is>
      </c>
      <c r="X3212" s="61" t="n"/>
      <c r="Y3212" s="61" t="n"/>
    </row>
    <row r="3213" ht="14.25" customHeight="1" s="86">
      <c r="E3213" s="70" t="inlineStr">
        <is>
          <t>WY</t>
        </is>
      </c>
      <c r="F3213" s="70" t="inlineStr">
        <is>
          <t>CARBON</t>
        </is>
      </c>
      <c r="X3213" s="61" t="n"/>
      <c r="Y3213" s="61" t="n"/>
    </row>
    <row r="3214" ht="14.25" customHeight="1" s="86">
      <c r="E3214" s="70" t="inlineStr">
        <is>
          <t>WY</t>
        </is>
      </c>
      <c r="F3214" s="70" t="inlineStr">
        <is>
          <t>CONVERSE</t>
        </is>
      </c>
      <c r="X3214" s="61" t="n"/>
      <c r="Y3214" s="61" t="n"/>
    </row>
    <row r="3215" ht="14.25" customHeight="1" s="86">
      <c r="E3215" s="70" t="inlineStr">
        <is>
          <t>WY</t>
        </is>
      </c>
      <c r="F3215" s="70" t="inlineStr">
        <is>
          <t>CROOK</t>
        </is>
      </c>
      <c r="X3215" s="61" t="n"/>
      <c r="Y3215" s="61" t="n"/>
    </row>
    <row r="3216" ht="14.25" customHeight="1" s="86">
      <c r="E3216" s="70" t="inlineStr">
        <is>
          <t>WY</t>
        </is>
      </c>
      <c r="F3216" s="70" t="inlineStr">
        <is>
          <t>FREMONT</t>
        </is>
      </c>
      <c r="X3216" s="61" t="n"/>
      <c r="Y3216" s="61" t="n"/>
    </row>
    <row r="3217" ht="14.25" customHeight="1" s="86">
      <c r="E3217" s="70" t="inlineStr">
        <is>
          <t>WY</t>
        </is>
      </c>
      <c r="F3217" s="70" t="inlineStr">
        <is>
          <t>GOSHEN</t>
        </is>
      </c>
      <c r="X3217" s="61" t="n"/>
      <c r="Y3217" s="61" t="n"/>
    </row>
    <row r="3218" ht="14.25" customHeight="1" s="86">
      <c r="E3218" s="70" t="inlineStr">
        <is>
          <t>WY</t>
        </is>
      </c>
      <c r="F3218" s="70" t="inlineStr">
        <is>
          <t>HOT SPRINGS</t>
        </is>
      </c>
      <c r="X3218" s="61" t="n"/>
      <c r="Y3218" s="61" t="n"/>
    </row>
    <row r="3219" ht="14.25" customHeight="1" s="86">
      <c r="E3219" s="70" t="inlineStr">
        <is>
          <t>WY</t>
        </is>
      </c>
      <c r="F3219" s="70" t="inlineStr">
        <is>
          <t>JOHNSON</t>
        </is>
      </c>
      <c r="X3219" s="61" t="n"/>
      <c r="Y3219" s="61" t="n"/>
    </row>
    <row r="3220" ht="14.25" customHeight="1" s="86">
      <c r="E3220" s="70" t="inlineStr">
        <is>
          <t>WY</t>
        </is>
      </c>
      <c r="F3220" s="70" t="inlineStr">
        <is>
          <t>LARAMIE</t>
        </is>
      </c>
      <c r="X3220" s="61" t="n"/>
      <c r="Y3220" s="61" t="n"/>
    </row>
    <row r="3221" ht="14.25" customHeight="1" s="86">
      <c r="E3221" s="70" t="inlineStr">
        <is>
          <t>WY</t>
        </is>
      </c>
      <c r="F3221" s="70" t="inlineStr">
        <is>
          <t>LINCOLN</t>
        </is>
      </c>
      <c r="X3221" s="61" t="n"/>
      <c r="Y3221" s="61" t="n"/>
    </row>
    <row r="3222" ht="14.25" customHeight="1" s="86">
      <c r="E3222" s="70" t="inlineStr">
        <is>
          <t>WY</t>
        </is>
      </c>
      <c r="F3222" s="70" t="inlineStr">
        <is>
          <t>NATRONA</t>
        </is>
      </c>
      <c r="X3222" s="61" t="n"/>
      <c r="Y3222" s="61" t="n"/>
    </row>
    <row r="3223" ht="14.25" customHeight="1" s="86">
      <c r="E3223" s="70" t="inlineStr">
        <is>
          <t>WY</t>
        </is>
      </c>
      <c r="F3223" s="70" t="inlineStr">
        <is>
          <t>NIOBRARA</t>
        </is>
      </c>
      <c r="X3223" s="61" t="n"/>
      <c r="Y3223" s="61" t="n"/>
    </row>
    <row r="3224" ht="14.25" customHeight="1" s="86">
      <c r="E3224" s="70" t="inlineStr">
        <is>
          <t>WY</t>
        </is>
      </c>
      <c r="F3224" s="70" t="inlineStr">
        <is>
          <t>PARK</t>
        </is>
      </c>
      <c r="X3224" s="61" t="n"/>
      <c r="Y3224" s="61" t="n"/>
    </row>
    <row r="3225" ht="14.25" customHeight="1" s="86">
      <c r="E3225" s="70" t="inlineStr">
        <is>
          <t>WY</t>
        </is>
      </c>
      <c r="F3225" s="70" t="inlineStr">
        <is>
          <t>PLATTE</t>
        </is>
      </c>
      <c r="X3225" s="61" t="n"/>
      <c r="Y3225" s="61" t="n"/>
    </row>
    <row r="3226" ht="14.25" customHeight="1" s="86">
      <c r="E3226" s="70" t="inlineStr">
        <is>
          <t>WY</t>
        </is>
      </c>
      <c r="F3226" s="70" t="inlineStr">
        <is>
          <t>SHERIDAN</t>
        </is>
      </c>
      <c r="X3226" s="61" t="n"/>
      <c r="Y3226" s="61" t="n"/>
    </row>
    <row r="3227" ht="14.25" customHeight="1" s="86">
      <c r="E3227" s="70" t="inlineStr">
        <is>
          <t>WY</t>
        </is>
      </c>
      <c r="F3227" s="70" t="inlineStr">
        <is>
          <t>SUBLETTE</t>
        </is>
      </c>
      <c r="X3227" s="61" t="n"/>
      <c r="Y3227" s="61" t="n"/>
    </row>
    <row r="3228" ht="14.25" customHeight="1" s="86">
      <c r="E3228" s="70" t="inlineStr">
        <is>
          <t>WY</t>
        </is>
      </c>
      <c r="F3228" s="70" t="inlineStr">
        <is>
          <t>SWEETWATER</t>
        </is>
      </c>
      <c r="X3228" s="61" t="n"/>
      <c r="Y3228" s="61" t="n"/>
    </row>
    <row r="3229" ht="14.25" customHeight="1" s="86">
      <c r="E3229" s="70" t="inlineStr">
        <is>
          <t>WY</t>
        </is>
      </c>
      <c r="F3229" s="70" t="inlineStr">
        <is>
          <t>TETON</t>
        </is>
      </c>
      <c r="X3229" s="61" t="n"/>
      <c r="Y3229" s="61" t="n"/>
    </row>
    <row r="3230" ht="14.25" customHeight="1" s="86">
      <c r="E3230" s="70" t="inlineStr">
        <is>
          <t>WY</t>
        </is>
      </c>
      <c r="F3230" s="70" t="inlineStr">
        <is>
          <t>UINTA</t>
        </is>
      </c>
      <c r="X3230" s="61" t="n"/>
      <c r="Y3230" s="61" t="n"/>
    </row>
    <row r="3231" ht="14.25" customHeight="1" s="86">
      <c r="E3231" s="70" t="inlineStr">
        <is>
          <t>WY</t>
        </is>
      </c>
      <c r="F3231" s="70" t="inlineStr">
        <is>
          <t>WASHAKIE</t>
        </is>
      </c>
      <c r="X3231" s="61" t="n"/>
      <c r="Y3231" s="61" t="n"/>
    </row>
    <row r="3232" ht="14.25" customHeight="1" s="86">
      <c r="E3232" s="70" t="inlineStr">
        <is>
          <t>WY</t>
        </is>
      </c>
      <c r="F3232" s="70" t="inlineStr">
        <is>
          <t>WESTON</t>
        </is>
      </c>
      <c r="X3232" s="61" t="n"/>
      <c r="Y3232" s="61" t="n"/>
    </row>
    <row r="3233" ht="14.25" customHeight="1" s="86">
      <c r="E3233" s="70" t="n"/>
      <c r="F3233" s="70" t="n"/>
      <c r="X3233" s="61" t="n"/>
      <c r="Y3233" s="61" t="n"/>
    </row>
    <row r="3234" ht="14.25" customHeight="1" s="86">
      <c r="E3234" s="70" t="n"/>
      <c r="F3234" s="70" t="n"/>
      <c r="X3234" s="61" t="n"/>
      <c r="Y3234" s="61" t="n"/>
    </row>
    <row r="3235" ht="14.25" customHeight="1" s="86">
      <c r="E3235" s="70" t="n"/>
      <c r="F3235" s="70" t="n"/>
      <c r="X3235" s="61" t="n"/>
      <c r="Y3235" s="61" t="n"/>
    </row>
    <row r="3236" ht="14.25" customHeight="1" s="86">
      <c r="E3236" s="70" t="n"/>
      <c r="F3236" s="70" t="n"/>
      <c r="X3236" s="61" t="n"/>
      <c r="Y3236" s="61" t="n"/>
    </row>
    <row r="3237" ht="14.25" customHeight="1" s="86">
      <c r="E3237" s="70" t="n"/>
      <c r="F3237" s="70" t="n"/>
      <c r="X3237" s="61" t="n"/>
      <c r="Y3237" s="61" t="n"/>
    </row>
    <row r="3238" ht="14.25" customHeight="1" s="86">
      <c r="E3238" s="70" t="n"/>
      <c r="F3238" s="70" t="n"/>
      <c r="X3238" s="61" t="n"/>
      <c r="Y3238" s="61" t="n"/>
    </row>
    <row r="3239" ht="14.25" customHeight="1" s="86">
      <c r="E3239" s="70" t="n"/>
      <c r="F3239" s="70" t="n"/>
      <c r="X3239" s="61" t="n"/>
      <c r="Y3239" s="61" t="n"/>
    </row>
    <row r="3240" ht="14.25" customHeight="1" s="86">
      <c r="E3240" s="70" t="n"/>
      <c r="F3240" s="70" t="n"/>
      <c r="X3240" s="61" t="n"/>
      <c r="Y3240" s="61" t="n"/>
    </row>
    <row r="3241" ht="14.25" customHeight="1" s="86">
      <c r="E3241" s="70" t="n"/>
      <c r="F3241" s="70" t="n"/>
      <c r="X3241" s="61" t="n"/>
      <c r="Y3241" s="61" t="n"/>
    </row>
    <row r="3242" ht="14.25" customHeight="1" s="86">
      <c r="E3242" s="70" t="n"/>
      <c r="F3242" s="70" t="n"/>
      <c r="X3242" s="61" t="n"/>
      <c r="Y3242" s="61" t="n"/>
    </row>
    <row r="3243" ht="14.25" customHeight="1" s="86">
      <c r="E3243" s="70" t="n"/>
      <c r="F3243" s="70" t="n"/>
      <c r="X3243" s="61" t="n"/>
      <c r="Y3243" s="61" t="n"/>
    </row>
    <row r="3244" ht="14.25" customHeight="1" s="86">
      <c r="E3244" s="70" t="n"/>
      <c r="F3244" s="70" t="n"/>
      <c r="X3244" s="61" t="n"/>
      <c r="Y3244" s="61" t="n"/>
    </row>
    <row r="3245" ht="14.25" customHeight="1" s="86">
      <c r="E3245" s="70" t="n"/>
      <c r="F3245" s="70" t="n"/>
      <c r="X3245" s="61" t="n"/>
      <c r="Y3245" s="61" t="n"/>
    </row>
    <row r="3246" ht="14.25" customHeight="1" s="86">
      <c r="E3246" s="70" t="n"/>
      <c r="F3246" s="70" t="n"/>
      <c r="X3246" s="61" t="n"/>
      <c r="Y3246" s="61" t="n"/>
    </row>
    <row r="3247" ht="14.25" customHeight="1" s="86">
      <c r="E3247" s="70" t="n"/>
      <c r="F3247" s="70" t="n"/>
      <c r="X3247" s="61" t="n"/>
      <c r="Y3247" s="61" t="n"/>
    </row>
    <row r="3248" ht="14.25" customHeight="1" s="86">
      <c r="E3248" s="70" t="n"/>
      <c r="F3248" s="70" t="n"/>
      <c r="X3248" s="61" t="n"/>
      <c r="Y3248" s="61" t="n"/>
    </row>
    <row r="3249" ht="14.25" customHeight="1" s="86">
      <c r="E3249" s="70" t="n"/>
      <c r="F3249" s="70" t="n"/>
      <c r="X3249" s="61" t="n"/>
      <c r="Y3249" s="61" t="n"/>
    </row>
    <row r="3250" ht="14.25" customHeight="1" s="86">
      <c r="E3250" s="70" t="n"/>
      <c r="F3250" s="70" t="n"/>
      <c r="X3250" s="61" t="n"/>
      <c r="Y3250" s="61" t="n"/>
    </row>
    <row r="3251" ht="14.25" customHeight="1" s="86">
      <c r="E3251" s="70" t="n"/>
      <c r="F3251" s="70" t="n"/>
      <c r="X3251" s="61" t="n"/>
      <c r="Y3251" s="61" t="n"/>
    </row>
    <row r="3252" ht="14.25" customHeight="1" s="86">
      <c r="E3252" s="70" t="n"/>
      <c r="F3252" s="70" t="n"/>
      <c r="X3252" s="61" t="n"/>
      <c r="Y3252" s="61" t="n"/>
    </row>
    <row r="3253" ht="14.25" customHeight="1" s="86">
      <c r="E3253" s="70" t="n"/>
      <c r="F3253" s="70" t="n"/>
      <c r="X3253" s="61" t="n"/>
      <c r="Y3253" s="61" t="n"/>
    </row>
    <row r="3254" ht="14.25" customHeight="1" s="86">
      <c r="E3254" s="70" t="n"/>
      <c r="F3254" s="70" t="n"/>
      <c r="X3254" s="61" t="n"/>
      <c r="Y3254" s="61" t="n"/>
    </row>
    <row r="3255" ht="14.25" customHeight="1" s="86">
      <c r="E3255" s="70" t="n"/>
      <c r="F3255" s="70" t="n"/>
      <c r="X3255" s="61" t="n"/>
      <c r="Y3255" s="61" t="n"/>
    </row>
    <row r="3256" ht="14.25" customHeight="1" s="86">
      <c r="E3256" s="70" t="n"/>
      <c r="F3256" s="70" t="n"/>
      <c r="X3256" s="61" t="n"/>
      <c r="Y3256" s="61" t="n"/>
    </row>
    <row r="3257" ht="14.25" customHeight="1" s="86">
      <c r="E3257" s="70" t="n"/>
      <c r="F3257" s="70" t="n"/>
      <c r="X3257" s="61" t="n"/>
      <c r="Y3257" s="61" t="n"/>
    </row>
    <row r="3258" ht="14.25" customHeight="1" s="86">
      <c r="E3258" s="70" t="n"/>
      <c r="F3258" s="70" t="n"/>
      <c r="X3258" s="61" t="n"/>
      <c r="Y3258" s="61" t="n"/>
    </row>
    <row r="3259" ht="14.25" customHeight="1" s="86">
      <c r="E3259" s="70" t="n"/>
      <c r="F3259" s="70" t="n"/>
      <c r="X3259" s="61" t="n"/>
      <c r="Y3259" s="61" t="n"/>
    </row>
    <row r="3260" ht="14.25" customHeight="1" s="86">
      <c r="E3260" s="70" t="n"/>
      <c r="F3260" s="70" t="n"/>
      <c r="X3260" s="61" t="n"/>
      <c r="Y3260" s="61" t="n"/>
    </row>
    <row r="3261" ht="14.25" customHeight="1" s="86">
      <c r="E3261" s="70" t="n"/>
      <c r="F3261" s="70" t="n"/>
      <c r="X3261" s="61" t="n"/>
      <c r="Y3261" s="61" t="n"/>
    </row>
    <row r="3262" ht="14.25" customHeight="1" s="86">
      <c r="E3262" s="70" t="n"/>
      <c r="F3262" s="70" t="n"/>
      <c r="X3262" s="61" t="n"/>
      <c r="Y3262" s="61" t="n"/>
    </row>
    <row r="3263" ht="14.25" customHeight="1" s="86">
      <c r="E3263" s="70" t="n"/>
      <c r="F3263" s="70" t="n"/>
      <c r="X3263" s="61" t="n"/>
      <c r="Y3263" s="61" t="n"/>
    </row>
    <row r="3264" ht="14.25" customHeight="1" s="86">
      <c r="E3264" s="70" t="n"/>
      <c r="F3264" s="70" t="n"/>
      <c r="X3264" s="61" t="n"/>
      <c r="Y3264" s="61" t="n"/>
    </row>
    <row r="3265" ht="14.25" customHeight="1" s="86">
      <c r="E3265" s="70" t="n"/>
      <c r="F3265" s="70" t="n"/>
      <c r="X3265" s="61" t="n"/>
      <c r="Y3265" s="61" t="n"/>
    </row>
    <row r="3266" ht="14.25" customHeight="1" s="86">
      <c r="E3266" s="70" t="n"/>
      <c r="F3266" s="70" t="n"/>
      <c r="X3266" s="61" t="n"/>
      <c r="Y3266" s="61" t="n"/>
    </row>
    <row r="3267" ht="14.25" customHeight="1" s="86">
      <c r="E3267" s="70" t="n"/>
      <c r="F3267" s="70" t="n"/>
      <c r="X3267" s="61" t="n"/>
      <c r="Y3267" s="61" t="n"/>
    </row>
    <row r="3268" ht="14.25" customHeight="1" s="86">
      <c r="E3268" s="70" t="n"/>
      <c r="F3268" s="70" t="n"/>
      <c r="X3268" s="61" t="n"/>
      <c r="Y3268" s="61" t="n"/>
    </row>
    <row r="3269" ht="14.25" customHeight="1" s="86">
      <c r="E3269" s="70" t="n"/>
      <c r="F3269" s="70" t="n"/>
      <c r="X3269" s="61" t="n"/>
      <c r="Y3269" s="61" t="n"/>
    </row>
    <row r="3270" ht="14.25" customHeight="1" s="86">
      <c r="E3270" s="70" t="n"/>
      <c r="F3270" s="70" t="n"/>
      <c r="X3270" s="61" t="n"/>
      <c r="Y3270" s="61" t="n"/>
    </row>
    <row r="3271" ht="14.25" customHeight="1" s="86">
      <c r="E3271" s="70" t="n"/>
      <c r="F3271" s="70" t="n"/>
      <c r="X3271" s="61" t="n"/>
      <c r="Y3271" s="61" t="n"/>
    </row>
    <row r="3272" ht="14.25" customHeight="1" s="86">
      <c r="E3272" s="70" t="n"/>
      <c r="F3272" s="70" t="n"/>
      <c r="X3272" s="61" t="n"/>
      <c r="Y3272" s="61" t="n"/>
    </row>
    <row r="3273" ht="14.25" customHeight="1" s="86">
      <c r="E3273" s="70" t="n"/>
      <c r="F3273" s="70" t="n"/>
      <c r="X3273" s="61" t="n"/>
      <c r="Y3273" s="61" t="n"/>
    </row>
    <row r="3274" ht="14.25" customHeight="1" s="86">
      <c r="E3274" s="70" t="n"/>
      <c r="F3274" s="70" t="n"/>
      <c r="X3274" s="61" t="n"/>
      <c r="Y3274" s="61" t="n"/>
    </row>
    <row r="3275" ht="14.25" customHeight="1" s="86">
      <c r="E3275" s="70" t="n"/>
      <c r="F3275" s="70" t="n"/>
      <c r="X3275" s="61" t="n"/>
      <c r="Y3275" s="61" t="n"/>
    </row>
    <row r="3276" ht="14.25" customHeight="1" s="86">
      <c r="E3276" s="70" t="n"/>
      <c r="F3276" s="70" t="n"/>
      <c r="X3276" s="61" t="n"/>
      <c r="Y3276" s="61" t="n"/>
    </row>
    <row r="3277" ht="14.25" customHeight="1" s="86">
      <c r="E3277" s="70" t="n"/>
      <c r="F3277" s="70" t="n"/>
      <c r="X3277" s="61" t="n"/>
      <c r="Y3277" s="61" t="n"/>
    </row>
    <row r="3278" ht="14.25" customHeight="1" s="86">
      <c r="E3278" s="70" t="n"/>
      <c r="F3278" s="70" t="n"/>
      <c r="X3278" s="61" t="n"/>
      <c r="Y3278" s="61" t="n"/>
    </row>
    <row r="3279" ht="14.25" customHeight="1" s="86">
      <c r="E3279" s="70" t="n"/>
      <c r="F3279" s="70" t="n"/>
      <c r="X3279" s="61" t="n"/>
      <c r="Y3279" s="61" t="n"/>
    </row>
    <row r="3280" ht="14.25" customHeight="1" s="86">
      <c r="E3280" s="70" t="n"/>
      <c r="F3280" s="70" t="n"/>
      <c r="X3280" s="61" t="n"/>
      <c r="Y3280" s="61" t="n"/>
    </row>
    <row r="3281" ht="14.25" customHeight="1" s="86">
      <c r="E3281" s="70" t="n"/>
      <c r="F3281" s="70" t="n"/>
      <c r="X3281" s="61" t="n"/>
      <c r="Y3281" s="61" t="n"/>
    </row>
    <row r="3282" ht="14.25" customHeight="1" s="86">
      <c r="E3282" s="70" t="n"/>
      <c r="F3282" s="70" t="n"/>
      <c r="X3282" s="61" t="n"/>
      <c r="Y3282" s="61" t="n"/>
    </row>
    <row r="3283" ht="14.25" customHeight="1" s="86">
      <c r="E3283" s="70" t="n"/>
      <c r="F3283" s="70" t="n"/>
      <c r="X3283" s="61" t="n"/>
      <c r="Y3283" s="61" t="n"/>
    </row>
    <row r="3284" ht="14.25" customHeight="1" s="86">
      <c r="E3284" s="70" t="n"/>
      <c r="F3284" s="70" t="n"/>
      <c r="X3284" s="61" t="n"/>
      <c r="Y3284" s="61" t="n"/>
    </row>
    <row r="3285" ht="14.25" customHeight="1" s="86">
      <c r="E3285" s="70" t="n"/>
      <c r="F3285" s="70" t="n"/>
      <c r="X3285" s="61" t="n"/>
      <c r="Y3285" s="61" t="n"/>
    </row>
    <row r="3286" ht="14.25" customHeight="1" s="86">
      <c r="E3286" s="70" t="n"/>
      <c r="F3286" s="70" t="n"/>
      <c r="X3286" s="61" t="n"/>
      <c r="Y3286" s="61" t="n"/>
    </row>
    <row r="3287" ht="14.25" customHeight="1" s="86">
      <c r="E3287" s="70" t="n"/>
      <c r="F3287" s="70" t="n"/>
      <c r="X3287" s="61" t="n"/>
      <c r="Y3287" s="61" t="n"/>
    </row>
    <row r="3288" ht="14.25" customHeight="1" s="86">
      <c r="E3288" s="70" t="n"/>
      <c r="F3288" s="70" t="n"/>
      <c r="X3288" s="61" t="n"/>
      <c r="Y3288" s="61" t="n"/>
    </row>
    <row r="3289" ht="14.25" customHeight="1" s="86">
      <c r="E3289" s="70" t="n"/>
      <c r="F3289" s="70" t="n"/>
      <c r="X3289" s="61" t="n"/>
      <c r="Y3289" s="61" t="n"/>
    </row>
    <row r="3290" ht="14.25" customHeight="1" s="86">
      <c r="E3290" s="70" t="n"/>
      <c r="F3290" s="70" t="n"/>
      <c r="X3290" s="61" t="n"/>
      <c r="Y3290" s="61" t="n"/>
    </row>
    <row r="3291" ht="14.25" customHeight="1" s="86">
      <c r="E3291" s="70" t="n"/>
      <c r="F3291" s="70" t="n"/>
      <c r="X3291" s="61" t="n"/>
      <c r="Y3291" s="61" t="n"/>
    </row>
    <row r="3292" ht="14.25" customHeight="1" s="86">
      <c r="E3292" s="70" t="n"/>
      <c r="F3292" s="70" t="n"/>
      <c r="X3292" s="61" t="n"/>
      <c r="Y3292" s="61" t="n"/>
    </row>
    <row r="3293" ht="14.25" customHeight="1" s="86">
      <c r="E3293" s="70" t="n"/>
      <c r="F3293" s="70" t="n"/>
      <c r="X3293" s="61" t="n"/>
      <c r="Y3293" s="61" t="n"/>
    </row>
    <row r="3294" ht="14.25" customHeight="1" s="86">
      <c r="E3294" s="70" t="n"/>
      <c r="F3294" s="70" t="n"/>
      <c r="X3294" s="61" t="n"/>
      <c r="Y3294" s="61" t="n"/>
    </row>
    <row r="3295" ht="14.25" customHeight="1" s="86">
      <c r="E3295" s="70" t="n"/>
      <c r="F3295" s="70" t="n"/>
      <c r="X3295" s="61" t="n"/>
      <c r="Y3295" s="61" t="n"/>
    </row>
    <row r="3296" ht="14.25" customHeight="1" s="86">
      <c r="E3296" s="70" t="n"/>
      <c r="F3296" s="70" t="n"/>
      <c r="X3296" s="61" t="n"/>
      <c r="Y3296" s="61" t="n"/>
    </row>
    <row r="3297" ht="14.25" customHeight="1" s="86">
      <c r="E3297" s="70" t="n"/>
      <c r="F3297" s="70" t="n"/>
      <c r="X3297" s="61" t="n"/>
      <c r="Y3297" s="61" t="n"/>
    </row>
    <row r="3298" ht="14.25" customHeight="1" s="86">
      <c r="E3298" s="70" t="n"/>
      <c r="F3298" s="70" t="n"/>
      <c r="X3298" s="61" t="n"/>
      <c r="Y3298" s="61" t="n"/>
    </row>
    <row r="3299" ht="14.25" customHeight="1" s="86">
      <c r="E3299" s="70" t="n"/>
      <c r="F3299" s="70" t="n"/>
      <c r="X3299" s="61" t="n"/>
      <c r="Y3299" s="61" t="n"/>
    </row>
    <row r="3300" ht="14.25" customHeight="1" s="86">
      <c r="E3300" s="70" t="n"/>
      <c r="F3300" s="70" t="n"/>
      <c r="X3300" s="61" t="n"/>
      <c r="Y3300" s="61" t="n"/>
    </row>
    <row r="3301" ht="14.25" customHeight="1" s="86">
      <c r="E3301" s="70" t="n"/>
      <c r="F3301" s="70" t="n"/>
      <c r="X3301" s="61" t="n"/>
      <c r="Y3301" s="61" t="n"/>
    </row>
    <row r="3302" ht="14.25" customHeight="1" s="86">
      <c r="E3302" s="70" t="n"/>
      <c r="F3302" s="70" t="n"/>
      <c r="X3302" s="61" t="n"/>
      <c r="Y3302" s="61" t="n"/>
    </row>
    <row r="3303" ht="14.25" customHeight="1" s="86">
      <c r="E3303" s="70" t="n"/>
      <c r="F3303" s="70" t="n"/>
      <c r="X3303" s="61" t="n"/>
      <c r="Y3303" s="61" t="n"/>
    </row>
    <row r="3304" ht="14.25" customHeight="1" s="86">
      <c r="E3304" s="70" t="n"/>
      <c r="F3304" s="70" t="n"/>
      <c r="X3304" s="61" t="n"/>
      <c r="Y3304" s="61" t="n"/>
    </row>
    <row r="3305" ht="14.25" customHeight="1" s="86">
      <c r="E3305" s="70" t="n"/>
      <c r="F3305" s="70" t="n"/>
      <c r="X3305" s="61" t="n"/>
      <c r="Y3305" s="61" t="n"/>
    </row>
    <row r="3306" ht="14.25" customHeight="1" s="86">
      <c r="E3306" s="70" t="n"/>
      <c r="F3306" s="70" t="n"/>
      <c r="X3306" s="61" t="n"/>
      <c r="Y3306" s="61" t="n"/>
    </row>
    <row r="3307" ht="14.25" customHeight="1" s="86">
      <c r="E3307" s="70" t="n"/>
      <c r="F3307" s="70" t="n"/>
      <c r="X3307" s="61" t="n"/>
      <c r="Y3307" s="61" t="n"/>
    </row>
    <row r="3308" ht="14.25" customHeight="1" s="86">
      <c r="E3308" s="70" t="n"/>
      <c r="F3308" s="70" t="n"/>
      <c r="X3308" s="61" t="n"/>
      <c r="Y3308" s="61" t="n"/>
    </row>
    <row r="3309" ht="14.25" customHeight="1" s="86">
      <c r="E3309" s="70" t="n"/>
      <c r="F3309" s="70" t="n"/>
      <c r="X3309" s="61" t="n"/>
      <c r="Y3309" s="61" t="n"/>
    </row>
    <row r="3310" ht="14.25" customHeight="1" s="86">
      <c r="E3310" s="70" t="n"/>
      <c r="F3310" s="70" t="n"/>
      <c r="X3310" s="61" t="n"/>
      <c r="Y3310" s="61" t="n"/>
    </row>
    <row r="3311" ht="14.25" customHeight="1" s="86">
      <c r="E3311" s="70" t="n"/>
      <c r="F3311" s="70" t="n"/>
      <c r="X3311" s="61" t="n"/>
      <c r="Y3311" s="61" t="n"/>
    </row>
    <row r="3312" ht="14.25" customHeight="1" s="86">
      <c r="E3312" s="70" t="n"/>
      <c r="F3312" s="70" t="n"/>
      <c r="X3312" s="61" t="n"/>
      <c r="Y3312" s="61" t="n"/>
    </row>
    <row r="3313" ht="14.25" customHeight="1" s="86">
      <c r="E3313" s="70" t="n"/>
      <c r="F3313" s="70" t="n"/>
      <c r="X3313" s="61" t="n"/>
      <c r="Y3313" s="61" t="n"/>
    </row>
    <row r="3314" ht="14.25" customHeight="1" s="86">
      <c r="E3314" s="70" t="n"/>
      <c r="F3314" s="70" t="n"/>
      <c r="X3314" s="61" t="n"/>
      <c r="Y3314" s="61" t="n"/>
    </row>
    <row r="3315" ht="14.25" customHeight="1" s="86">
      <c r="E3315" s="70" t="n"/>
      <c r="F3315" s="70" t="n"/>
      <c r="X3315" s="61" t="n"/>
      <c r="Y3315" s="61" t="n"/>
    </row>
    <row r="3316" ht="14.25" customHeight="1" s="86">
      <c r="E3316" s="70" t="n"/>
      <c r="F3316" s="70" t="n"/>
      <c r="X3316" s="61" t="n"/>
      <c r="Y3316" s="61" t="n"/>
    </row>
    <row r="3317" ht="14.25" customHeight="1" s="86">
      <c r="E3317" s="70" t="n"/>
      <c r="F3317" s="70" t="n"/>
      <c r="X3317" s="61" t="n"/>
      <c r="Y3317" s="61" t="n"/>
    </row>
    <row r="3318" ht="14.25" customHeight="1" s="86">
      <c r="E3318" s="70" t="n"/>
      <c r="F3318" s="70" t="n"/>
      <c r="X3318" s="61" t="n"/>
      <c r="Y3318" s="61" t="n"/>
    </row>
    <row r="3319" ht="14.25" customHeight="1" s="86">
      <c r="E3319" s="70" t="n"/>
      <c r="F3319" s="70" t="n"/>
      <c r="X3319" s="61" t="n"/>
      <c r="Y3319" s="61" t="n"/>
    </row>
    <row r="3320" ht="14.25" customHeight="1" s="86">
      <c r="E3320" s="70" t="n"/>
      <c r="F3320" s="70" t="n"/>
      <c r="X3320" s="61" t="n"/>
      <c r="Y3320" s="61" t="n"/>
    </row>
    <row r="3321" ht="14.25" customHeight="1" s="86">
      <c r="E3321" s="70" t="n"/>
      <c r="F3321" s="70" t="n"/>
      <c r="X3321" s="61" t="n"/>
      <c r="Y3321" s="61" t="n"/>
    </row>
    <row r="3322" ht="14.25" customHeight="1" s="86">
      <c r="E3322" s="70" t="n"/>
      <c r="F3322" s="70" t="n"/>
      <c r="X3322" s="61" t="n"/>
      <c r="Y3322" s="61" t="n"/>
    </row>
    <row r="3323" ht="14.25" customHeight="1" s="86">
      <c r="E3323" s="70" t="n"/>
      <c r="F3323" s="70" t="n"/>
      <c r="X3323" s="61" t="n"/>
      <c r="Y3323" s="61" t="n"/>
    </row>
    <row r="3324" ht="14.25" customHeight="1" s="86">
      <c r="E3324" s="70" t="n"/>
      <c r="F3324" s="70" t="n"/>
      <c r="X3324" s="61" t="n"/>
      <c r="Y3324" s="61" t="n"/>
    </row>
    <row r="3325" ht="14.25" customHeight="1" s="86">
      <c r="E3325" s="70" t="n"/>
      <c r="F3325" s="70" t="n"/>
      <c r="X3325" s="61" t="n"/>
      <c r="Y3325" s="61" t="n"/>
    </row>
    <row r="3326" ht="14.25" customHeight="1" s="86">
      <c r="E3326" s="70" t="n"/>
      <c r="F3326" s="70" t="n"/>
      <c r="X3326" s="61" t="n"/>
      <c r="Y3326" s="61" t="n"/>
    </row>
    <row r="3327" ht="14.25" customHeight="1" s="86">
      <c r="E3327" s="70" t="n"/>
      <c r="F3327" s="70" t="n"/>
      <c r="X3327" s="61" t="n"/>
      <c r="Y3327" s="61" t="n"/>
    </row>
    <row r="3328" ht="14.25" customHeight="1" s="86">
      <c r="E3328" s="70" t="n"/>
      <c r="F3328" s="70" t="n"/>
      <c r="X3328" s="61" t="n"/>
      <c r="Y3328" s="61" t="n"/>
    </row>
    <row r="3329" ht="14.25" customHeight="1" s="86">
      <c r="E3329" s="70" t="n"/>
      <c r="F3329" s="70" t="n"/>
      <c r="X3329" s="61" t="n"/>
      <c r="Y3329" s="61" t="n"/>
    </row>
    <row r="3330" ht="14.25" customHeight="1" s="86">
      <c r="E3330" s="70" t="n"/>
      <c r="F3330" s="70" t="n"/>
      <c r="X3330" s="61" t="n"/>
      <c r="Y3330" s="61" t="n"/>
    </row>
    <row r="3331" ht="14.25" customHeight="1" s="86">
      <c r="E3331" s="70" t="n"/>
      <c r="F3331" s="70" t="n"/>
      <c r="X3331" s="61" t="n"/>
      <c r="Y3331" s="61" t="n"/>
    </row>
    <row r="3332" ht="14.25" customHeight="1" s="86">
      <c r="E3332" s="70" t="n"/>
      <c r="F3332" s="70" t="n"/>
      <c r="X3332" s="61" t="n"/>
      <c r="Y3332" s="61" t="n"/>
    </row>
    <row r="3333" ht="14.25" customHeight="1" s="86">
      <c r="E3333" s="70" t="n"/>
      <c r="F3333" s="70" t="n"/>
      <c r="X3333" s="61" t="n"/>
      <c r="Y3333" s="61" t="n"/>
    </row>
    <row r="3334" ht="14.25" customHeight="1" s="86">
      <c r="E3334" s="70" t="n"/>
      <c r="F3334" s="70" t="n"/>
      <c r="X3334" s="61" t="n"/>
      <c r="Y3334" s="61" t="n"/>
    </row>
    <row r="3335" ht="14.25" customHeight="1" s="86">
      <c r="E3335" s="70" t="n"/>
      <c r="F3335" s="70" t="n"/>
      <c r="X3335" s="61" t="n"/>
      <c r="Y3335" s="61" t="n"/>
    </row>
    <row r="3336" ht="14.25" customHeight="1" s="86">
      <c r="E3336" s="70" t="n"/>
      <c r="F3336" s="70" t="n"/>
      <c r="X3336" s="61" t="n"/>
      <c r="Y3336" s="61" t="n"/>
    </row>
    <row r="3337" ht="14.25" customHeight="1" s="86">
      <c r="E3337" s="70" t="n"/>
      <c r="F3337" s="70" t="n"/>
      <c r="X3337" s="61" t="n"/>
      <c r="Y3337" s="61" t="n"/>
    </row>
    <row r="3338" ht="14.25" customHeight="1" s="86">
      <c r="E3338" s="70" t="n"/>
      <c r="F3338" s="70" t="n"/>
      <c r="X3338" s="61" t="n"/>
      <c r="Y3338" s="61" t="n"/>
    </row>
    <row r="3339" ht="14.25" customHeight="1" s="86">
      <c r="E3339" s="70" t="n"/>
      <c r="F3339" s="70" t="n"/>
      <c r="X3339" s="61" t="n"/>
      <c r="Y3339" s="61" t="n"/>
    </row>
    <row r="3340" ht="14.25" customHeight="1" s="86">
      <c r="E3340" s="70" t="n"/>
      <c r="F3340" s="70" t="n"/>
      <c r="X3340" s="61" t="n"/>
      <c r="Y3340" s="61" t="n"/>
    </row>
    <row r="3341" ht="14.25" customHeight="1" s="86">
      <c r="E3341" s="70" t="n"/>
      <c r="F3341" s="70" t="n"/>
      <c r="X3341" s="61" t="n"/>
      <c r="Y3341" s="61" t="n"/>
    </row>
    <row r="3342" ht="14.25" customHeight="1" s="86">
      <c r="E3342" s="70" t="n"/>
      <c r="F3342" s="70" t="n"/>
      <c r="X3342" s="61" t="n"/>
      <c r="Y3342" s="61" t="n"/>
    </row>
    <row r="3343" ht="14.25" customHeight="1" s="86">
      <c r="E3343" s="70" t="n"/>
      <c r="F3343" s="70" t="n"/>
      <c r="X3343" s="61" t="n"/>
      <c r="Y3343" s="61" t="n"/>
    </row>
    <row r="3344" ht="14.25" customHeight="1" s="86">
      <c r="E3344" s="70" t="n"/>
      <c r="F3344" s="70" t="n"/>
      <c r="X3344" s="61" t="n"/>
      <c r="Y3344" s="61" t="n"/>
    </row>
    <row r="3345" ht="14.25" customHeight="1" s="86">
      <c r="E3345" s="70" t="n"/>
      <c r="F3345" s="70" t="n"/>
      <c r="X3345" s="61" t="n"/>
      <c r="Y3345" s="61" t="n"/>
    </row>
    <row r="3346" ht="14.25" customHeight="1" s="86">
      <c r="E3346" s="70" t="n"/>
      <c r="F3346" s="70" t="n"/>
      <c r="X3346" s="61" t="n"/>
      <c r="Y3346" s="61" t="n"/>
    </row>
    <row r="3347" ht="14.25" customHeight="1" s="86">
      <c r="E3347" s="70" t="n"/>
      <c r="F3347" s="70" t="n"/>
      <c r="X3347" s="61" t="n"/>
      <c r="Y3347" s="61" t="n"/>
    </row>
    <row r="3348" ht="14.25" customHeight="1" s="86">
      <c r="E3348" s="70" t="n"/>
      <c r="F3348" s="70" t="n"/>
      <c r="X3348" s="61" t="n"/>
      <c r="Y3348" s="61" t="n"/>
    </row>
    <row r="3349" ht="14.25" customHeight="1" s="86">
      <c r="E3349" s="70" t="n"/>
      <c r="F3349" s="70" t="n"/>
      <c r="X3349" s="61" t="n"/>
      <c r="Y3349" s="61" t="n"/>
    </row>
    <row r="3350" ht="14.25" customHeight="1" s="86">
      <c r="E3350" s="70" t="n"/>
      <c r="F3350" s="70" t="n"/>
      <c r="X3350" s="61" t="n"/>
      <c r="Y3350" s="61" t="n"/>
    </row>
    <row r="3351" ht="14.25" customHeight="1" s="86">
      <c r="E3351" s="70" t="n"/>
      <c r="F3351" s="70" t="n"/>
      <c r="X3351" s="61" t="n"/>
      <c r="Y3351" s="61" t="n"/>
    </row>
    <row r="3352" ht="14.25" customHeight="1" s="86">
      <c r="E3352" s="70" t="n"/>
      <c r="F3352" s="70" t="n"/>
      <c r="X3352" s="61" t="n"/>
      <c r="Y3352" s="61" t="n"/>
    </row>
    <row r="3353" ht="14.25" customHeight="1" s="86">
      <c r="E3353" s="70" t="n"/>
      <c r="F3353" s="70" t="n"/>
      <c r="X3353" s="61" t="n"/>
      <c r="Y3353" s="61" t="n"/>
    </row>
    <row r="3354" ht="14.25" customHeight="1" s="86">
      <c r="E3354" s="70" t="n"/>
      <c r="F3354" s="70" t="n"/>
      <c r="X3354" s="61" t="n"/>
      <c r="Y3354" s="61" t="n"/>
    </row>
    <row r="3355" ht="14.25" customHeight="1" s="86">
      <c r="E3355" s="70" t="n"/>
      <c r="F3355" s="70" t="n"/>
      <c r="X3355" s="61" t="n"/>
      <c r="Y3355" s="61" t="n"/>
    </row>
    <row r="3356" ht="14.25" customHeight="1" s="86">
      <c r="E3356" s="70" t="n"/>
      <c r="F3356" s="70" t="n"/>
      <c r="X3356" s="61" t="n"/>
      <c r="Y3356" s="61" t="n"/>
    </row>
    <row r="3357" ht="14.25" customHeight="1" s="86">
      <c r="E3357" s="70" t="n"/>
      <c r="F3357" s="70" t="n"/>
      <c r="X3357" s="61" t="n"/>
      <c r="Y3357" s="61" t="n"/>
    </row>
    <row r="3358" ht="14.25" customHeight="1" s="86">
      <c r="E3358" s="70" t="n"/>
      <c r="F3358" s="70" t="n"/>
      <c r="X3358" s="61" t="n"/>
      <c r="Y3358" s="61" t="n"/>
    </row>
    <row r="3359" ht="14.25" customHeight="1" s="86">
      <c r="E3359" s="70" t="n"/>
      <c r="F3359" s="70" t="n"/>
      <c r="X3359" s="61" t="n"/>
      <c r="Y3359" s="61" t="n"/>
    </row>
    <row r="3360" ht="14.25" customHeight="1" s="86">
      <c r="E3360" s="70" t="n"/>
      <c r="F3360" s="70" t="n"/>
      <c r="X3360" s="61" t="n"/>
      <c r="Y3360" s="61" t="n"/>
    </row>
    <row r="3361" ht="14.25" customHeight="1" s="86">
      <c r="E3361" s="70" t="n"/>
      <c r="F3361" s="70" t="n"/>
      <c r="X3361" s="61" t="n"/>
      <c r="Y3361" s="61" t="n"/>
    </row>
    <row r="3362" ht="14.25" customHeight="1" s="86">
      <c r="E3362" s="70" t="n"/>
      <c r="F3362" s="70" t="n"/>
      <c r="X3362" s="61" t="n"/>
      <c r="Y3362" s="61" t="n"/>
    </row>
    <row r="3363" ht="14.25" customHeight="1" s="86">
      <c r="E3363" s="70" t="n"/>
      <c r="F3363" s="70" t="n"/>
      <c r="X3363" s="61" t="n"/>
      <c r="Y3363" s="61" t="n"/>
    </row>
    <row r="3364" ht="14.25" customHeight="1" s="86">
      <c r="E3364" s="70" t="n"/>
      <c r="F3364" s="70" t="n"/>
      <c r="X3364" s="61" t="n"/>
      <c r="Y3364" s="61" t="n"/>
    </row>
    <row r="3365" ht="14.25" customHeight="1" s="86">
      <c r="E3365" s="70" t="n"/>
      <c r="F3365" s="70" t="n"/>
      <c r="X3365" s="61" t="n"/>
      <c r="Y3365" s="61" t="n"/>
    </row>
    <row r="3366" ht="14.25" customHeight="1" s="86">
      <c r="E3366" s="70" t="n"/>
      <c r="F3366" s="70" t="n"/>
      <c r="X3366" s="61" t="n"/>
      <c r="Y3366" s="61" t="n"/>
    </row>
    <row r="3367" ht="14.25" customHeight="1" s="86">
      <c r="E3367" s="70" t="n"/>
      <c r="F3367" s="70" t="n"/>
      <c r="X3367" s="61" t="n"/>
      <c r="Y3367" s="61" t="n"/>
    </row>
    <row r="3368" ht="14.25" customHeight="1" s="86">
      <c r="E3368" s="70" t="n"/>
      <c r="F3368" s="70" t="n"/>
      <c r="X3368" s="61" t="n"/>
      <c r="Y3368" s="61" t="n"/>
    </row>
    <row r="3369" ht="14.25" customHeight="1" s="86">
      <c r="E3369" s="70" t="n"/>
      <c r="F3369" s="70" t="n"/>
      <c r="X3369" s="61" t="n"/>
      <c r="Y3369" s="61" t="n"/>
    </row>
    <row r="3370" ht="14.25" customHeight="1" s="86">
      <c r="E3370" s="70" t="n"/>
      <c r="F3370" s="70" t="n"/>
      <c r="X3370" s="61" t="n"/>
      <c r="Y3370" s="61" t="n"/>
    </row>
    <row r="3371" ht="14.25" customHeight="1" s="86">
      <c r="E3371" s="70" t="n"/>
      <c r="F3371" s="70" t="n"/>
      <c r="X3371" s="61" t="n"/>
      <c r="Y3371" s="61" t="n"/>
    </row>
    <row r="3372" ht="14.25" customHeight="1" s="86">
      <c r="E3372" s="70" t="n"/>
      <c r="F3372" s="70" t="n"/>
      <c r="X3372" s="61" t="n"/>
      <c r="Y3372" s="61" t="n"/>
    </row>
    <row r="3373" ht="14.25" customHeight="1" s="86">
      <c r="E3373" s="70" t="n"/>
      <c r="F3373" s="70" t="n"/>
      <c r="X3373" s="61" t="n"/>
      <c r="Y3373" s="61" t="n"/>
    </row>
    <row r="3374" ht="14.25" customHeight="1" s="86">
      <c r="E3374" s="70" t="n"/>
      <c r="F3374" s="70" t="n"/>
      <c r="X3374" s="61" t="n"/>
      <c r="Y3374" s="61" t="n"/>
    </row>
    <row r="3375" ht="14.25" customHeight="1" s="86">
      <c r="E3375" s="70" t="n"/>
      <c r="F3375" s="70" t="n"/>
      <c r="X3375" s="61" t="n"/>
      <c r="Y3375" s="61" t="n"/>
    </row>
    <row r="3376" ht="14.25" customHeight="1" s="86">
      <c r="E3376" s="70" t="n"/>
      <c r="F3376" s="70" t="n"/>
      <c r="X3376" s="61" t="n"/>
      <c r="Y3376" s="61" t="n"/>
    </row>
    <row r="3377" ht="14.25" customHeight="1" s="86">
      <c r="E3377" s="70" t="n"/>
      <c r="F3377" s="70" t="n"/>
      <c r="X3377" s="61" t="n"/>
      <c r="Y3377" s="61" t="n"/>
    </row>
    <row r="3378" ht="14.25" customHeight="1" s="86">
      <c r="E3378" s="70" t="n"/>
      <c r="F3378" s="70" t="n"/>
      <c r="X3378" s="61" t="n"/>
      <c r="Y3378" s="61" t="n"/>
    </row>
    <row r="3379" ht="14.25" customHeight="1" s="86">
      <c r="E3379" s="70" t="n"/>
      <c r="F3379" s="70" t="n"/>
      <c r="X3379" s="61" t="n"/>
      <c r="Y3379" s="61" t="n"/>
    </row>
    <row r="3380" ht="14.25" customHeight="1" s="86">
      <c r="E3380" s="70" t="n"/>
      <c r="F3380" s="70" t="n"/>
      <c r="X3380" s="61" t="n"/>
      <c r="Y3380" s="61" t="n"/>
    </row>
    <row r="3381" ht="14.25" customHeight="1" s="86">
      <c r="E3381" s="70" t="n"/>
      <c r="F3381" s="70" t="n"/>
      <c r="X3381" s="61" t="n"/>
      <c r="Y3381" s="61" t="n"/>
    </row>
    <row r="3382" ht="14.25" customHeight="1" s="86">
      <c r="E3382" s="70" t="n"/>
      <c r="F3382" s="70" t="n"/>
      <c r="X3382" s="61" t="n"/>
      <c r="Y3382" s="61" t="n"/>
    </row>
    <row r="3383" ht="14.25" customHeight="1" s="86">
      <c r="E3383" s="70" t="n"/>
      <c r="F3383" s="70" t="n"/>
      <c r="X3383" s="61" t="n"/>
      <c r="Y3383" s="61" t="n"/>
    </row>
    <row r="3384" ht="14.25" customHeight="1" s="86">
      <c r="E3384" s="70" t="n"/>
      <c r="F3384" s="70" t="n"/>
      <c r="X3384" s="61" t="n"/>
      <c r="Y3384" s="61" t="n"/>
    </row>
    <row r="3385" ht="14.25" customHeight="1" s="86">
      <c r="E3385" s="70" t="n"/>
      <c r="F3385" s="70" t="n"/>
      <c r="X3385" s="61" t="n"/>
      <c r="Y3385" s="61" t="n"/>
    </row>
    <row r="3386" ht="14.25" customHeight="1" s="86">
      <c r="E3386" s="70" t="n"/>
      <c r="F3386" s="70" t="n"/>
      <c r="X3386" s="61" t="n"/>
      <c r="Y3386" s="61" t="n"/>
    </row>
    <row r="3387" ht="14.25" customHeight="1" s="86">
      <c r="E3387" s="70" t="n"/>
      <c r="F3387" s="70" t="n"/>
      <c r="X3387" s="61" t="n"/>
      <c r="Y3387" s="61" t="n"/>
    </row>
    <row r="3388" ht="14.25" customHeight="1" s="86">
      <c r="E3388" s="70" t="n"/>
      <c r="F3388" s="70" t="n"/>
      <c r="X3388" s="61" t="n"/>
      <c r="Y3388" s="61" t="n"/>
    </row>
    <row r="3389" ht="14.25" customHeight="1" s="86">
      <c r="E3389" s="70" t="n"/>
      <c r="F3389" s="70" t="n"/>
      <c r="X3389" s="61" t="n"/>
      <c r="Y3389" s="61" t="n"/>
    </row>
    <row r="3390" ht="14.25" customHeight="1" s="86">
      <c r="E3390" s="70" t="n"/>
      <c r="F3390" s="70" t="n"/>
      <c r="X3390" s="61" t="n"/>
      <c r="Y3390" s="61" t="n"/>
    </row>
    <row r="3391" ht="14.25" customHeight="1" s="86">
      <c r="E3391" s="70" t="n"/>
      <c r="F3391" s="70" t="n"/>
      <c r="X3391" s="61" t="n"/>
      <c r="Y3391" s="61" t="n"/>
    </row>
    <row r="3392" ht="14.25" customHeight="1" s="86">
      <c r="E3392" s="70" t="n"/>
      <c r="F3392" s="70" t="n"/>
      <c r="X3392" s="61" t="n"/>
      <c r="Y3392" s="61" t="n"/>
    </row>
    <row r="3393" ht="14.25" customHeight="1" s="86">
      <c r="E3393" s="70" t="n"/>
      <c r="F3393" s="70" t="n"/>
      <c r="X3393" s="61" t="n"/>
      <c r="Y3393" s="61" t="n"/>
    </row>
    <row r="3394" ht="14.25" customHeight="1" s="86">
      <c r="E3394" s="70" t="n"/>
      <c r="F3394" s="70" t="n"/>
      <c r="X3394" s="61" t="n"/>
      <c r="Y3394" s="61" t="n"/>
    </row>
    <row r="3395" ht="14.25" customHeight="1" s="86">
      <c r="E3395" s="70" t="n"/>
      <c r="F3395" s="70" t="n"/>
      <c r="X3395" s="61" t="n"/>
      <c r="Y3395" s="61" t="n"/>
    </row>
    <row r="3396" ht="14.25" customHeight="1" s="86">
      <c r="E3396" s="70" t="n"/>
      <c r="F3396" s="70" t="n"/>
      <c r="X3396" s="61" t="n"/>
      <c r="Y3396" s="61" t="n"/>
    </row>
    <row r="3397" ht="14.25" customHeight="1" s="86">
      <c r="E3397" s="70" t="n"/>
      <c r="F3397" s="70" t="n"/>
      <c r="X3397" s="61" t="n"/>
      <c r="Y3397" s="61" t="n"/>
    </row>
    <row r="3398" ht="14.25" customHeight="1" s="86">
      <c r="E3398" s="70" t="n"/>
      <c r="F3398" s="70" t="n"/>
      <c r="X3398" s="61" t="n"/>
      <c r="Y3398" s="61" t="n"/>
    </row>
    <row r="3399" ht="14.25" customHeight="1" s="86">
      <c r="E3399" s="70" t="n"/>
      <c r="F3399" s="70" t="n"/>
      <c r="X3399" s="61" t="n"/>
      <c r="Y3399" s="61" t="n"/>
    </row>
    <row r="3400" ht="14.25" customHeight="1" s="86">
      <c r="E3400" s="70" t="n"/>
      <c r="F3400" s="70" t="n"/>
      <c r="X3400" s="61" t="n"/>
      <c r="Y3400" s="61" t="n"/>
    </row>
    <row r="3401" ht="14.25" customHeight="1" s="86">
      <c r="E3401" s="70" t="n"/>
      <c r="F3401" s="70" t="n"/>
      <c r="X3401" s="61" t="n"/>
      <c r="Y3401" s="61" t="n"/>
    </row>
    <row r="3402" ht="14.25" customHeight="1" s="86">
      <c r="E3402" s="70" t="n"/>
      <c r="F3402" s="70" t="n"/>
      <c r="X3402" s="61" t="n"/>
      <c r="Y3402" s="61" t="n"/>
    </row>
    <row r="3403" ht="14.25" customHeight="1" s="86">
      <c r="E3403" s="70" t="n"/>
      <c r="F3403" s="70" t="n"/>
      <c r="X3403" s="61" t="n"/>
      <c r="Y3403" s="61" t="n"/>
    </row>
    <row r="3404" ht="14.25" customHeight="1" s="86">
      <c r="E3404" s="70" t="n"/>
      <c r="F3404" s="70" t="n"/>
      <c r="X3404" s="61" t="n"/>
      <c r="Y3404" s="61" t="n"/>
    </row>
    <row r="3405" ht="14.25" customHeight="1" s="86">
      <c r="E3405" s="70" t="n"/>
      <c r="F3405" s="70" t="n"/>
      <c r="X3405" s="61" t="n"/>
      <c r="Y3405" s="61" t="n"/>
    </row>
    <row r="3406" ht="14.25" customHeight="1" s="86">
      <c r="E3406" s="70" t="n"/>
      <c r="F3406" s="70" t="n"/>
      <c r="X3406" s="61" t="n"/>
      <c r="Y3406" s="61" t="n"/>
    </row>
    <row r="3407" ht="14.25" customHeight="1" s="86">
      <c r="E3407" s="70" t="n"/>
      <c r="F3407" s="70" t="n"/>
      <c r="X3407" s="61" t="n"/>
      <c r="Y3407" s="61" t="n"/>
    </row>
    <row r="3408" ht="14.25" customHeight="1" s="86">
      <c r="E3408" s="70" t="n"/>
      <c r="F3408" s="70" t="n"/>
      <c r="X3408" s="61" t="n"/>
      <c r="Y3408" s="61" t="n"/>
    </row>
    <row r="3409" ht="14.25" customHeight="1" s="86">
      <c r="E3409" s="70" t="n"/>
      <c r="F3409" s="70" t="n"/>
      <c r="X3409" s="61" t="n"/>
      <c r="Y3409" s="61" t="n"/>
    </row>
    <row r="3410" ht="14.25" customHeight="1" s="86">
      <c r="E3410" s="70" t="n"/>
      <c r="F3410" s="70" t="n"/>
      <c r="X3410" s="61" t="n"/>
      <c r="Y3410" s="61" t="n"/>
    </row>
    <row r="3411" ht="14.25" customHeight="1" s="86">
      <c r="E3411" s="70" t="n"/>
      <c r="F3411" s="70" t="n"/>
      <c r="X3411" s="61" t="n"/>
      <c r="Y3411" s="61" t="n"/>
    </row>
    <row r="3412" ht="14.25" customHeight="1" s="86">
      <c r="E3412" s="70" t="n"/>
      <c r="F3412" s="70" t="n"/>
      <c r="X3412" s="61" t="n"/>
      <c r="Y3412" s="61" t="n"/>
    </row>
    <row r="3413" ht="14.25" customHeight="1" s="86">
      <c r="E3413" s="70" t="n"/>
      <c r="F3413" s="70" t="n"/>
      <c r="X3413" s="61" t="n"/>
      <c r="Y3413" s="61" t="n"/>
    </row>
    <row r="3414" ht="14.25" customHeight="1" s="86">
      <c r="E3414" s="70" t="n"/>
      <c r="F3414" s="70" t="n"/>
      <c r="X3414" s="61" t="n"/>
      <c r="Y3414" s="61" t="n"/>
    </row>
    <row r="3415" ht="14.25" customHeight="1" s="86">
      <c r="E3415" s="70" t="n"/>
      <c r="F3415" s="70" t="n"/>
      <c r="X3415" s="61" t="n"/>
      <c r="Y3415" s="61" t="n"/>
    </row>
    <row r="3416" ht="14.25" customHeight="1" s="86">
      <c r="E3416" s="70" t="n"/>
      <c r="F3416" s="70" t="n"/>
      <c r="X3416" s="61" t="n"/>
      <c r="Y3416" s="61" t="n"/>
    </row>
    <row r="3417" ht="14.25" customHeight="1" s="86">
      <c r="E3417" s="70" t="n"/>
      <c r="F3417" s="70" t="n"/>
      <c r="X3417" s="61" t="n"/>
      <c r="Y3417" s="61" t="n"/>
    </row>
    <row r="3418" ht="14.25" customHeight="1" s="86">
      <c r="E3418" s="70" t="n"/>
      <c r="F3418" s="70" t="n"/>
      <c r="X3418" s="61" t="n"/>
      <c r="Y3418" s="61" t="n"/>
    </row>
    <row r="3419" ht="14.25" customHeight="1" s="86">
      <c r="E3419" s="70" t="n"/>
      <c r="F3419" s="70" t="n"/>
      <c r="X3419" s="61" t="n"/>
      <c r="Y3419" s="61" t="n"/>
    </row>
    <row r="3420" ht="14.25" customHeight="1" s="86">
      <c r="E3420" s="70" t="n"/>
      <c r="F3420" s="70" t="n"/>
      <c r="X3420" s="61" t="n"/>
      <c r="Y3420" s="61" t="n"/>
    </row>
    <row r="3421" ht="14.25" customHeight="1" s="86">
      <c r="E3421" s="70" t="n"/>
      <c r="F3421" s="70" t="n"/>
      <c r="X3421" s="61" t="n"/>
      <c r="Y3421" s="61" t="n"/>
    </row>
    <row r="3422" ht="14.25" customHeight="1" s="86">
      <c r="E3422" s="70" t="n"/>
      <c r="F3422" s="70" t="n"/>
      <c r="X3422" s="61" t="n"/>
      <c r="Y3422" s="61" t="n"/>
    </row>
    <row r="3423" ht="14.25" customHeight="1" s="86">
      <c r="E3423" s="70" t="n"/>
      <c r="F3423" s="70" t="n"/>
      <c r="X3423" s="61" t="n"/>
      <c r="Y3423" s="61" t="n"/>
    </row>
    <row r="3424" ht="14.25" customHeight="1" s="86">
      <c r="E3424" s="70" t="n"/>
      <c r="F3424" s="70" t="n"/>
      <c r="X3424" s="61" t="n"/>
      <c r="Y3424" s="61" t="n"/>
    </row>
    <row r="3425" ht="14.25" customHeight="1" s="86">
      <c r="E3425" s="70" t="n"/>
      <c r="F3425" s="70" t="n"/>
      <c r="X3425" s="61" t="n"/>
      <c r="Y3425" s="61" t="n"/>
    </row>
    <row r="3426" ht="14.25" customHeight="1" s="86">
      <c r="E3426" s="70" t="n"/>
      <c r="F3426" s="70" t="n"/>
      <c r="X3426" s="61" t="n"/>
      <c r="Y3426" s="61" t="n"/>
    </row>
    <row r="3427" ht="14.25" customHeight="1" s="86">
      <c r="E3427" s="70" t="n"/>
      <c r="F3427" s="70" t="n"/>
      <c r="X3427" s="61" t="n"/>
      <c r="Y3427" s="61" t="n"/>
    </row>
    <row r="3428" ht="14.25" customHeight="1" s="86">
      <c r="E3428" s="70" t="n"/>
      <c r="F3428" s="70" t="n"/>
      <c r="X3428" s="61" t="n"/>
      <c r="Y3428" s="61" t="n"/>
    </row>
    <row r="3429" ht="14.25" customHeight="1" s="86">
      <c r="E3429" s="70" t="n"/>
      <c r="F3429" s="70" t="n"/>
      <c r="X3429" s="61" t="n"/>
      <c r="Y3429" s="61" t="n"/>
    </row>
    <row r="3430" ht="14.25" customHeight="1" s="86">
      <c r="E3430" s="70" t="n"/>
      <c r="F3430" s="70" t="n"/>
      <c r="X3430" s="61" t="n"/>
      <c r="Y3430" s="61" t="n"/>
    </row>
    <row r="3431" ht="14.25" customHeight="1" s="86">
      <c r="E3431" s="70" t="n"/>
      <c r="F3431" s="70" t="n"/>
      <c r="X3431" s="61" t="n"/>
      <c r="Y3431" s="61" t="n"/>
    </row>
    <row r="3432" ht="14.25" customHeight="1" s="86">
      <c r="E3432" s="70" t="n"/>
      <c r="F3432" s="70" t="n"/>
      <c r="X3432" s="61" t="n"/>
      <c r="Y3432" s="61" t="n"/>
    </row>
  </sheetData>
  <mergeCells count="2">
    <mergeCell ref="AF1:AO1"/>
    <mergeCell ref="BD1:BN1"/>
  </mergeCells>
  <dataValidations count="15">
    <dataValidation sqref="BJ3" showDropDown="0" showInputMessage="1" showErrorMessage="1" allowBlank="1" prompt="Required: - Please select dependent's gender." type="list">
      <formula1>"Male,Female"</formula1>
    </dataValidation>
    <dataValidation sqref="BF3" showDropDown="0" showInputMessage="1" showErrorMessage="1" allowBlank="1" prompt="Optional: - Please enter dependent's middle initial." type="custom">
      <formula1>AND(ISNUMBER(BF3)=FALSE,LEN(BF3)=1)</formula1>
    </dataValidation>
    <dataValidation sqref="AK3 BI3" showDropDown="0" showInputMessage="1" showErrorMessage="1" allowBlank="1" prompt="Required: - Date should be in MM/DD/YYYY format." type="date" operator="greaterThanOrEqual">
      <formula1>1.0</formula1>
    </dataValidation>
    <dataValidation sqref="AN3 BL3" showDropDown="0" showInputMessage="1" showErrorMessage="1" allowBlank="1" prompt="Required: - Please select Relationship." type="list">
      <formula1>"Spouse,Child,Domestic Partner,Other dependent"</formula1>
    </dataValidation>
    <dataValidation sqref="AG3 BE3" showDropDown="0" showInputMessage="1" showErrorMessage="1" allowBlank="1" prompt="Required: - Please enter dependent's first name." type="custom">
      <formula1>AND(GTE(LEN(AG3),MIN((1),(35))),LTE(LEN(AG3),MAX((1),(35))))</formula1>
    </dataValidation>
    <dataValidation sqref="AO3" showDropDown="0" showInputMessage="1" showErrorMessage="1" allowBlank="1" prompt="Optional: - Please select dependent's disability status." type="list">
      <formula1>"Yes,No"</formula1>
    </dataValidation>
    <dataValidation sqref="BD3" showDropDown="0" showInputMessage="1" showErrorMessage="1" allowBlank="1" prompt="Optional: - Please select a prefix." type="list">
      <formula1>"Mr.,Mrs.,Ms.,Miss.,Dr."</formula1>
    </dataValidation>
    <dataValidation sqref="AI3 BG3" showDropDown="0" showInputMessage="1" showErrorMessage="1" allowBlank="1" prompt="Required: - Please enter dependent's last name." type="custom">
      <formula1>AND(GTE(LEN(AI3),MIN((1),(60))),LTE(LEN(AI3),MAX((1),(60))))</formula1>
    </dataValidation>
    <dataValidation sqref="AJ3 BH3" showDropDown="0" showInputMessage="1" showErrorMessage="1" allowBlank="1" prompt="Optional: - Please select dependent's suffix." type="list">
      <formula1>"Jr.,Sr.,I,II,III,IV"</formula1>
    </dataValidation>
    <dataValidation sqref="AF3" showDropDown="0" showInputMessage="1" showErrorMessage="1" allowBlank="1" prompt="Optional: - Please select dependent's prefix." type="list">
      <formula1>"Mr.,Mrs.,Ms.,Miss.,Dr."</formula1>
    </dataValidation>
    <dataValidation sqref="AM3 BK3" showDropDown="0" showInputMessage="1" showErrorMessage="1" allowBlank="1" prompt="Optional: - Please select YES if employee's dependent has used any tobacco product in the past six months." type="list">
      <formula1>"Yes,No"</formula1>
    </dataValidation>
    <dataValidation sqref="AH3" showDropDown="0" showInputMessage="1" showErrorMessage="1" allowBlank="1" prompt="Optional: - Please enter dependent's middle initial." type="custom">
      <formula1>AND(EXACT(AH3,AH3),LEN(AH3)=1)</formula1>
    </dataValidation>
    <dataValidation sqref="BN3" showDropDown="0" showInputMessage="1" showErrorMessage="1" allowBlank="1" prompt="Required: - Please select Is Married." type="list">
      <formula1>"Yes,No"</formula1>
    </dataValidation>
    <dataValidation sqref="AL3" showDropDown="0" showInputMessage="1" showErrorMessage="0" allowBlank="1" prompt="Optional: - Please select dependent's gender." type="list">
      <formula1>"Male,Female"</formula1>
    </dataValidation>
    <dataValidation sqref="BM3" showDropDown="0" showInputMessage="1" showErrorMessage="1" allowBlank="1" prompt="Required: - Please select Is Disabled." type="list">
      <formula1>"Yes,No"</formula1>
    </dataValidation>
  </dataValidations>
  <pageMargins left="0.7" right="0.7" top="0.75" bottom="0.75" header="0" footer="0"/>
  <pageSetup orientation="portrait"/>
</worksheet>
</file>

<file path=xl/worksheets/sheet4.xml><?xml version="1.0" encoding="utf-8"?>
<worksheet xmlns="http://schemas.openxmlformats.org/spreadsheetml/2006/main">
  <sheetPr codeName="Sheet3">
    <outlinePr summaryBelow="1" summaryRight="1"/>
    <pageSetUpPr/>
  </sheetPr>
  <dimension ref="A1:Z1000"/>
  <sheetViews>
    <sheetView workbookViewId="0">
      <selection activeCell="A1" sqref="A1"/>
    </sheetView>
  </sheetViews>
  <sheetFormatPr baseColWidth="8" defaultColWidth="14.43" defaultRowHeight="15" customHeight="1"/>
  <cols>
    <col width="45" customWidth="1" style="86" min="1" max="1"/>
    <col width="41.29" customWidth="1" style="86" min="2" max="2"/>
    <col width="19.43" customWidth="1" style="86" min="3" max="3"/>
    <col width="23.71" customWidth="1" style="86" min="4" max="4"/>
    <col width="10.86" customWidth="1" style="86" min="5" max="7"/>
    <col width="27.14" customWidth="1" style="86" min="8" max="8"/>
    <col width="9.140000000000001" customWidth="1" style="86" min="9" max="26"/>
  </cols>
  <sheetData>
    <row r="1" ht="15.75" customHeight="1" s="86">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5.75" customHeight="1" s="86">
      <c r="A2" s="71" t="inlineStr">
        <is>
          <t>Field Name</t>
        </is>
      </c>
      <c r="B2" s="71" t="inlineStr">
        <is>
          <t>Mandatory/ Optional</t>
        </is>
      </c>
      <c r="C2" s="71" t="inlineStr">
        <is>
          <t>Field Type</t>
        </is>
      </c>
      <c r="D2" s="71" t="inlineStr">
        <is>
          <t>Data Type</t>
        </is>
      </c>
      <c r="E2" s="71" t="inlineStr">
        <is>
          <t>Business Rules</t>
        </is>
      </c>
      <c r="F2" s="71" t="inlineStr">
        <is>
          <t>Minimum Length</t>
        </is>
      </c>
      <c r="G2" s="71" t="inlineStr">
        <is>
          <t>Maximum Length</t>
        </is>
      </c>
      <c r="H2" s="71" t="inlineStr">
        <is>
          <t>Messages</t>
        </is>
      </c>
      <c r="I2" s="23" t="n"/>
      <c r="J2" s="23" t="n"/>
      <c r="K2" s="23" t="n"/>
      <c r="L2" s="23" t="n"/>
      <c r="M2" s="23" t="n"/>
      <c r="N2" s="23" t="n"/>
      <c r="O2" s="23" t="n"/>
      <c r="P2" s="23" t="n"/>
      <c r="Q2" s="23" t="n"/>
      <c r="R2" s="23" t="n"/>
      <c r="S2" s="23" t="n"/>
      <c r="T2" s="23" t="n"/>
      <c r="U2" s="23" t="n"/>
      <c r="V2" s="23" t="n"/>
      <c r="W2" s="23" t="n"/>
      <c r="X2" s="23" t="n"/>
      <c r="Y2" s="23" t="n"/>
      <c r="Z2" s="23" t="n"/>
    </row>
    <row r="3" ht="15.75" customHeight="1" s="86">
      <c r="A3" s="72" t="inlineStr">
        <is>
          <t>Prefix</t>
        </is>
      </c>
      <c r="B3" s="73" t="inlineStr">
        <is>
          <t>O</t>
        </is>
      </c>
      <c r="C3" s="74" t="inlineStr">
        <is>
          <t>Drop down</t>
        </is>
      </c>
      <c r="D3" s="74" t="inlineStr">
        <is>
          <t>Mr., Miss, Mrs., Ms., Dr.</t>
        </is>
      </c>
      <c r="E3" s="74" t="n"/>
      <c r="F3" s="73" t="inlineStr">
        <is>
          <t>NA</t>
        </is>
      </c>
      <c r="G3" s="73" t="inlineStr">
        <is>
          <t>NA</t>
        </is>
      </c>
      <c r="H3" s="74" t="n"/>
      <c r="I3" s="23" t="n"/>
      <c r="J3" s="23" t="n"/>
      <c r="K3" s="23" t="n"/>
      <c r="L3" s="23" t="n"/>
      <c r="M3" s="23" t="n"/>
      <c r="N3" s="23" t="n"/>
      <c r="O3" s="23" t="n"/>
      <c r="P3" s="23" t="n"/>
      <c r="Q3" s="23" t="n"/>
      <c r="R3" s="23" t="n"/>
      <c r="S3" s="23" t="n"/>
      <c r="T3" s="23" t="n"/>
      <c r="U3" s="23" t="n"/>
      <c r="V3" s="23" t="n"/>
      <c r="W3" s="23" t="n"/>
      <c r="X3" s="23" t="n"/>
      <c r="Y3" s="23" t="n"/>
      <c r="Z3" s="23" t="n"/>
    </row>
    <row r="4" ht="15.75" customHeight="1" s="86">
      <c r="A4" s="75" t="inlineStr">
        <is>
          <t>Employee FirstName</t>
        </is>
      </c>
      <c r="B4" s="73" t="inlineStr">
        <is>
          <t>M</t>
        </is>
      </c>
      <c r="C4" s="74" t="n"/>
      <c r="D4" s="74" t="n"/>
      <c r="E4" s="74" t="inlineStr">
        <is>
          <t>Should be mandatory during registration and e-app</t>
        </is>
      </c>
      <c r="F4" s="73" t="n">
        <v>1</v>
      </c>
      <c r="G4" s="73" t="n">
        <v>35</v>
      </c>
      <c r="H4" s="76" t="inlineStr">
        <is>
          <t>Please enter your First Name upto 35 characters</t>
        </is>
      </c>
      <c r="I4" s="23" t="n"/>
      <c r="J4" s="23" t="n"/>
      <c r="K4" s="23" t="n"/>
      <c r="L4" s="23" t="n"/>
      <c r="M4" s="23" t="n"/>
      <c r="N4" s="23" t="n"/>
      <c r="O4" s="23" t="n"/>
      <c r="P4" s="23" t="n"/>
      <c r="Q4" s="23" t="n"/>
      <c r="R4" s="23" t="n"/>
      <c r="S4" s="23" t="n"/>
      <c r="T4" s="23" t="n"/>
      <c r="U4" s="23" t="n"/>
      <c r="V4" s="23" t="n"/>
      <c r="W4" s="23" t="n"/>
      <c r="X4" s="23" t="n"/>
      <c r="Y4" s="23" t="n"/>
      <c r="Z4" s="23" t="n"/>
    </row>
    <row r="5" ht="15.75" customHeight="1" s="86">
      <c r="A5" s="77" t="inlineStr">
        <is>
          <t>Employee Middle Initial</t>
        </is>
      </c>
      <c r="B5" s="73" t="inlineStr">
        <is>
          <t>O</t>
        </is>
      </c>
      <c r="C5" s="74" t="inlineStr">
        <is>
          <t>Text box</t>
        </is>
      </c>
      <c r="D5" s="74" t="inlineStr">
        <is>
          <t>Should be a single charecter in capital letters. Eg. M</t>
        </is>
      </c>
      <c r="E5" s="74" t="inlineStr">
        <is>
          <t>Should be non-mandatory at all places</t>
        </is>
      </c>
      <c r="F5" s="73" t="n">
        <v>1</v>
      </c>
      <c r="G5" s="73" t="n">
        <v>1</v>
      </c>
      <c r="H5" s="78" t="n"/>
      <c r="I5" s="23" t="n"/>
      <c r="J5" s="23" t="n"/>
      <c r="K5" s="23" t="n"/>
      <c r="L5" s="23" t="n"/>
      <c r="M5" s="23" t="n"/>
      <c r="N5" s="23" t="n"/>
      <c r="O5" s="23" t="n"/>
      <c r="P5" s="23" t="n"/>
      <c r="Q5" s="23" t="n"/>
      <c r="R5" s="23" t="n"/>
      <c r="S5" s="23" t="n"/>
      <c r="T5" s="23" t="n"/>
      <c r="U5" s="23" t="n"/>
      <c r="V5" s="23" t="n"/>
      <c r="W5" s="23" t="n"/>
      <c r="X5" s="23" t="n"/>
      <c r="Y5" s="23" t="n"/>
      <c r="Z5" s="23" t="n"/>
    </row>
    <row r="6" ht="15.75" customHeight="1" s="86">
      <c r="A6" s="75" t="inlineStr">
        <is>
          <t>Employee LastName</t>
        </is>
      </c>
      <c r="B6" s="73" t="inlineStr">
        <is>
          <t>M</t>
        </is>
      </c>
      <c r="C6" s="74" t="inlineStr">
        <is>
          <t>Text box</t>
        </is>
      </c>
      <c r="D6" s="74" t="inlineStr">
        <is>
          <t>Free text including special characters</t>
        </is>
      </c>
      <c r="E6" s="74" t="inlineStr">
        <is>
          <t>Should be mandatory during registration and e-app</t>
        </is>
      </c>
      <c r="F6" s="73" t="n">
        <v>1</v>
      </c>
      <c r="G6" s="73" t="n">
        <v>60</v>
      </c>
      <c r="H6" s="76" t="inlineStr">
        <is>
          <t>Please enter your Last Name upto 60 characters</t>
        </is>
      </c>
      <c r="I6" s="23" t="n"/>
      <c r="J6" s="23" t="n"/>
      <c r="K6" s="23" t="n"/>
      <c r="L6" s="23" t="n"/>
      <c r="M6" s="23" t="n"/>
      <c r="N6" s="23" t="n"/>
      <c r="O6" s="23" t="n"/>
      <c r="P6" s="23" t="n"/>
      <c r="Q6" s="23" t="n"/>
      <c r="R6" s="23" t="n"/>
      <c r="S6" s="23" t="n"/>
      <c r="T6" s="23" t="n"/>
      <c r="U6" s="23" t="n"/>
      <c r="V6" s="23" t="n"/>
      <c r="W6" s="23" t="n"/>
      <c r="X6" s="23" t="n"/>
      <c r="Y6" s="23" t="n"/>
      <c r="Z6" s="23" t="n"/>
    </row>
    <row r="7" ht="15.75" customHeight="1" s="86">
      <c r="A7" s="78" t="inlineStr">
        <is>
          <t>Employee Suffix</t>
        </is>
      </c>
      <c r="B7" s="73" t="inlineStr">
        <is>
          <t>O</t>
        </is>
      </c>
      <c r="C7" s="74" t="inlineStr">
        <is>
          <t>Drop down</t>
        </is>
      </c>
      <c r="D7" s="74" t="inlineStr">
        <is>
          <t>Jr., Sr., I, II, III</t>
        </is>
      </c>
      <c r="E7" s="74" t="n"/>
      <c r="F7" s="73" t="inlineStr">
        <is>
          <t>NA</t>
        </is>
      </c>
      <c r="G7" s="73" t="inlineStr">
        <is>
          <t>NA</t>
        </is>
      </c>
      <c r="H7" s="78" t="n"/>
      <c r="I7" s="23" t="n"/>
      <c r="J7" s="23" t="n"/>
      <c r="K7" s="23" t="n"/>
      <c r="L7" s="23" t="n"/>
      <c r="M7" s="23" t="n"/>
      <c r="N7" s="23" t="n"/>
      <c r="O7" s="23" t="n"/>
      <c r="P7" s="23" t="n"/>
      <c r="Q7" s="23" t="n"/>
      <c r="R7" s="23" t="n"/>
      <c r="S7" s="23" t="n"/>
      <c r="T7" s="23" t="n"/>
      <c r="U7" s="23" t="n"/>
      <c r="V7" s="23" t="n"/>
      <c r="W7" s="23" t="n"/>
      <c r="X7" s="23" t="n"/>
      <c r="Y7" s="23" t="n"/>
      <c r="Z7" s="23" t="n"/>
    </row>
    <row r="8" ht="15.75" customHeight="1" s="86">
      <c r="A8" s="75" t="inlineStr">
        <is>
          <t>Employee DOB(mm/dd/yyyy)</t>
        </is>
      </c>
      <c r="B8" s="73" t="inlineStr">
        <is>
          <t>M</t>
        </is>
      </c>
      <c r="C8" s="74" t="inlineStr">
        <is>
          <t>Calender</t>
        </is>
      </c>
      <c r="D8" s="74" t="inlineStr">
        <is>
          <t>Upto 120 years of age (MM-DD-YYYY)</t>
        </is>
      </c>
      <c r="E8" s="74" t="n"/>
      <c r="F8" s="73" t="inlineStr">
        <is>
          <t>NA</t>
        </is>
      </c>
      <c r="G8" s="73" t="inlineStr">
        <is>
          <t>NA</t>
        </is>
      </c>
      <c r="H8" s="76" t="inlineStr">
        <is>
          <t>Please enter a valid Date of Birth</t>
        </is>
      </c>
      <c r="I8" s="23" t="n"/>
      <c r="J8" s="23" t="n"/>
      <c r="K8" s="23" t="n"/>
      <c r="L8" s="23" t="n"/>
      <c r="M8" s="23" t="n"/>
      <c r="N8" s="23" t="n"/>
      <c r="O8" s="23" t="n"/>
      <c r="P8" s="23" t="n"/>
      <c r="Q8" s="23" t="n"/>
      <c r="R8" s="23" t="n"/>
      <c r="S8" s="23" t="n"/>
      <c r="T8" s="23" t="n"/>
      <c r="U8" s="23" t="n"/>
      <c r="V8" s="23" t="n"/>
      <c r="W8" s="23" t="n"/>
      <c r="X8" s="23" t="n"/>
      <c r="Y8" s="23" t="n"/>
      <c r="Z8" s="23" t="n"/>
    </row>
    <row r="9" ht="15.75" customHeight="1" s="86">
      <c r="A9" s="75" t="inlineStr">
        <is>
          <t>Employee Gender(Male/Female)</t>
        </is>
      </c>
      <c r="B9" s="73" t="inlineStr">
        <is>
          <t>M</t>
        </is>
      </c>
      <c r="C9" s="74" t="inlineStr">
        <is>
          <t>Radio button</t>
        </is>
      </c>
      <c r="D9" s="74" t="inlineStr">
        <is>
          <t>M/ F</t>
        </is>
      </c>
      <c r="E9" s="74" t="n"/>
      <c r="F9" s="73" t="n">
        <v>1</v>
      </c>
      <c r="G9" s="73" t="n">
        <v>10</v>
      </c>
      <c r="H9" s="76" t="inlineStr">
        <is>
          <t>Please select a Gender</t>
        </is>
      </c>
      <c r="I9" s="23" t="n"/>
      <c r="J9" s="23" t="n"/>
      <c r="K9" s="23" t="n"/>
      <c r="L9" s="23" t="n"/>
      <c r="M9" s="23" t="n"/>
      <c r="N9" s="23" t="n"/>
      <c r="O9" s="23" t="n"/>
      <c r="P9" s="23" t="n"/>
      <c r="Q9" s="23" t="n"/>
      <c r="R9" s="23" t="n"/>
      <c r="S9" s="23" t="n"/>
      <c r="T9" s="23" t="n"/>
      <c r="U9" s="23" t="n"/>
      <c r="V9" s="23" t="n"/>
      <c r="W9" s="23" t="n"/>
      <c r="X9" s="23" t="n"/>
      <c r="Y9" s="23" t="n"/>
      <c r="Z9" s="23" t="n"/>
    </row>
    <row r="10" ht="15.75" customHeight="1" s="86">
      <c r="A10" s="75" t="inlineStr">
        <is>
          <t>Employee SSN(XXX-XX-XXXX)</t>
        </is>
      </c>
      <c r="B10" s="73" t="inlineStr">
        <is>
          <t>M</t>
        </is>
      </c>
      <c r="C10" s="74" t="inlineStr">
        <is>
          <t>Text box</t>
        </is>
      </c>
      <c r="D10" s="74" t="inlineStr">
        <is>
          <t>NNN-NN-NNNN</t>
        </is>
      </c>
      <c r="E10" s="74" t="n"/>
      <c r="F10" s="73" t="n">
        <v>9</v>
      </c>
      <c r="G10" s="73" t="n">
        <v>9</v>
      </c>
      <c r="H10" s="76" t="inlineStr">
        <is>
          <t>Please enter a valid 9 digit SSN</t>
        </is>
      </c>
      <c r="I10" s="23" t="n"/>
      <c r="J10" s="23" t="n"/>
      <c r="K10" s="23" t="n"/>
      <c r="L10" s="23" t="n"/>
      <c r="M10" s="23" t="n"/>
      <c r="N10" s="23" t="n"/>
      <c r="O10" s="23" t="n"/>
      <c r="P10" s="23" t="n"/>
      <c r="Q10" s="23" t="n"/>
      <c r="R10" s="23" t="n"/>
      <c r="S10" s="23" t="n"/>
      <c r="T10" s="23" t="n"/>
      <c r="U10" s="23" t="n"/>
      <c r="V10" s="23" t="n"/>
      <c r="W10" s="23" t="n"/>
      <c r="X10" s="23" t="n"/>
      <c r="Y10" s="23" t="n"/>
      <c r="Z10" s="23" t="n"/>
    </row>
    <row r="11" ht="15.75" customHeight="1" s="86">
      <c r="A11" s="75" t="inlineStr">
        <is>
          <t>Employee tobacco_usage in last 12 months (Yes/No)</t>
        </is>
      </c>
      <c r="B11" s="73" t="inlineStr">
        <is>
          <t>M</t>
        </is>
      </c>
      <c r="C11" s="74" t="inlineStr">
        <is>
          <t>Radio button</t>
        </is>
      </c>
      <c r="D11" s="74" t="inlineStr">
        <is>
          <t>Yes/ No</t>
        </is>
      </c>
      <c r="E11" s="74" t="n"/>
      <c r="F11" s="73" t="n">
        <v>1</v>
      </c>
      <c r="G11" s="73" t="n">
        <v>5</v>
      </c>
      <c r="H11" s="76" t="inlineStr">
        <is>
          <t>Please Select a valid Option</t>
        </is>
      </c>
      <c r="I11" s="23" t="n"/>
      <c r="J11" s="23" t="n"/>
      <c r="K11" s="23" t="n"/>
      <c r="L11" s="23" t="n"/>
      <c r="M11" s="23" t="n"/>
      <c r="N11" s="23" t="n"/>
      <c r="O11" s="23" t="n"/>
      <c r="P11" s="23" t="n"/>
      <c r="Q11" s="23" t="n"/>
      <c r="R11" s="23" t="n"/>
      <c r="S11" s="23" t="n"/>
      <c r="T11" s="23" t="n"/>
      <c r="U11" s="23" t="n"/>
      <c r="V11" s="23" t="n"/>
      <c r="W11" s="23" t="n"/>
      <c r="X11" s="23" t="n"/>
      <c r="Y11" s="23" t="n"/>
      <c r="Z11" s="23" t="n"/>
    </row>
    <row r="12" ht="15.75" customHeight="1" s="86">
      <c r="A12" s="75" t="inlineStr">
        <is>
          <t>Employee ID</t>
        </is>
      </c>
      <c r="B12" s="73" t="inlineStr">
        <is>
          <t>M</t>
        </is>
      </c>
      <c r="C12" s="74" t="inlineStr">
        <is>
          <t>Text box</t>
        </is>
      </c>
      <c r="D12" s="74" t="n"/>
      <c r="E12" s="74" t="n"/>
      <c r="F12" s="73" t="n">
        <v>1</v>
      </c>
      <c r="G12" s="73" t="n">
        <v>50</v>
      </c>
      <c r="H12" s="76" t="inlineStr">
        <is>
          <t>Please Enter a valid Employee ID</t>
        </is>
      </c>
      <c r="I12" s="23" t="n"/>
      <c r="J12" s="23" t="n"/>
      <c r="K12" s="23" t="n"/>
      <c r="L12" s="23" t="n"/>
      <c r="M12" s="23" t="n"/>
      <c r="N12" s="23" t="n"/>
      <c r="O12" s="23" t="n"/>
      <c r="P12" s="23" t="n"/>
      <c r="Q12" s="23" t="n"/>
      <c r="R12" s="23" t="n"/>
      <c r="S12" s="23" t="n"/>
      <c r="T12" s="23" t="n"/>
      <c r="U12" s="23" t="n"/>
      <c r="V12" s="23" t="n"/>
      <c r="W12" s="23" t="n"/>
      <c r="X12" s="23" t="n"/>
      <c r="Y12" s="23" t="n"/>
      <c r="Z12" s="23" t="n"/>
    </row>
    <row r="13" ht="15.75" customHeight="1" s="86">
      <c r="A13" s="75" t="inlineStr">
        <is>
          <t>Status</t>
        </is>
      </c>
      <c r="B13" s="73" t="inlineStr">
        <is>
          <t>M</t>
        </is>
      </c>
      <c r="C13" s="74" t="inlineStr">
        <is>
          <t>Drop down</t>
        </is>
      </c>
      <c r="D13" s="74" t="inlineStr">
        <is>
          <t>Active/ Terminated</t>
        </is>
      </c>
      <c r="E13" s="74" t="n"/>
      <c r="F13" s="73" t="n">
        <v>1</v>
      </c>
      <c r="G13" s="73" t="n">
        <v>20</v>
      </c>
      <c r="H13" s="76" t="inlineStr">
        <is>
          <t>Please Select a valid Employee Status</t>
        </is>
      </c>
      <c r="I13" s="23" t="n"/>
      <c r="J13" s="23" t="n"/>
      <c r="K13" s="23" t="n"/>
      <c r="L13" s="23" t="n"/>
      <c r="M13" s="23" t="n"/>
      <c r="N13" s="23" t="n"/>
      <c r="O13" s="23" t="n"/>
      <c r="P13" s="23" t="n"/>
      <c r="Q13" s="23" t="n"/>
      <c r="R13" s="23" t="n"/>
      <c r="S13" s="23" t="n"/>
      <c r="T13" s="23" t="n"/>
      <c r="U13" s="23" t="n"/>
      <c r="V13" s="23" t="n"/>
      <c r="W13" s="23" t="n"/>
      <c r="X13" s="23" t="n"/>
      <c r="Y13" s="23" t="n"/>
      <c r="Z13" s="23" t="n"/>
    </row>
    <row r="14" ht="15.75" customHeight="1" s="86">
      <c r="A14" s="75" t="inlineStr">
        <is>
          <t>Date of Hire(mm/dd/yyyy)</t>
        </is>
      </c>
      <c r="B14" s="73" t="inlineStr">
        <is>
          <t>M</t>
        </is>
      </c>
      <c r="C14" s="74" t="inlineStr">
        <is>
          <t>Calender</t>
        </is>
      </c>
      <c r="D14" s="74" t="inlineStr">
        <is>
          <t>MM-DD-YYYY</t>
        </is>
      </c>
      <c r="E14" s="79" t="inlineStr">
        <is>
          <t>Date of Hire cannot be prior to Employer's year of Incorporation.</t>
        </is>
      </c>
      <c r="F14" s="73" t="inlineStr">
        <is>
          <t>NA</t>
        </is>
      </c>
      <c r="G14" s="73" t="inlineStr">
        <is>
          <t>NA</t>
        </is>
      </c>
      <c r="H14" s="76" t="inlineStr">
        <is>
          <t>Please Select a valid Date</t>
        </is>
      </c>
      <c r="I14" s="23" t="n"/>
      <c r="J14" s="23" t="n"/>
      <c r="K14" s="23" t="n"/>
      <c r="L14" s="23" t="n"/>
      <c r="M14" s="23" t="n"/>
      <c r="N14" s="23" t="n"/>
      <c r="O14" s="23" t="n"/>
      <c r="P14" s="23" t="n"/>
      <c r="Q14" s="23" t="n"/>
      <c r="R14" s="23" t="n"/>
      <c r="S14" s="23" t="n"/>
      <c r="T14" s="23" t="n"/>
      <c r="U14" s="23" t="n"/>
      <c r="V14" s="23" t="n"/>
      <c r="W14" s="23" t="n"/>
      <c r="X14" s="23" t="n"/>
      <c r="Y14" s="23" t="n"/>
      <c r="Z14" s="23" t="n"/>
    </row>
    <row r="15" ht="15.75" customHeight="1" s="86">
      <c r="A15" s="77" t="inlineStr">
        <is>
          <t>Re-Hired Employee</t>
        </is>
      </c>
      <c r="B15" s="73" t="inlineStr">
        <is>
          <t>O</t>
        </is>
      </c>
      <c r="C15" s="74" t="inlineStr">
        <is>
          <t>Radio Button</t>
        </is>
      </c>
      <c r="D15" s="74" t="inlineStr">
        <is>
          <t>Yes/ No</t>
        </is>
      </c>
      <c r="E15" s="79" t="inlineStr">
        <is>
          <t>Indicates if an employee is a new hire.</t>
        </is>
      </c>
      <c r="F15" s="73" t="n">
        <v>1</v>
      </c>
      <c r="G15" s="73" t="n">
        <v>5</v>
      </c>
      <c r="H15" s="74" t="n"/>
      <c r="I15" s="23" t="n"/>
      <c r="J15" s="23" t="n"/>
      <c r="K15" s="23" t="n"/>
      <c r="L15" s="23" t="n"/>
      <c r="M15" s="23" t="n"/>
      <c r="N15" s="23" t="n"/>
      <c r="O15" s="23" t="n"/>
      <c r="P15" s="23" t="n"/>
      <c r="Q15" s="23" t="n"/>
      <c r="R15" s="23" t="n"/>
      <c r="S15" s="23" t="n"/>
      <c r="T15" s="23" t="n"/>
      <c r="U15" s="23" t="n"/>
      <c r="V15" s="23" t="n"/>
      <c r="W15" s="23" t="n"/>
      <c r="X15" s="23" t="n"/>
      <c r="Y15" s="23" t="n"/>
      <c r="Z15" s="23" t="n"/>
    </row>
    <row r="16" ht="15.75" customHeight="1" s="86">
      <c r="A16" s="75" t="inlineStr">
        <is>
          <t>Employment Type</t>
        </is>
      </c>
      <c r="B16" s="73" t="inlineStr">
        <is>
          <t>M</t>
        </is>
      </c>
      <c r="C16" s="74" t="inlineStr">
        <is>
          <t>Drop down</t>
        </is>
      </c>
      <c r="D16" s="74" t="inlineStr">
        <is>
          <t>Full Time/ Part Time/ Others</t>
        </is>
      </c>
      <c r="E16" s="74" t="n"/>
      <c r="F16" s="73" t="n">
        <v>1</v>
      </c>
      <c r="G16" s="73" t="n">
        <v>20</v>
      </c>
      <c r="H16" s="76" t="inlineStr">
        <is>
          <t>Please Select a valid Option</t>
        </is>
      </c>
      <c r="I16" s="23" t="n"/>
      <c r="J16" s="23" t="n"/>
      <c r="K16" s="23" t="n"/>
      <c r="L16" s="23" t="n"/>
      <c r="M16" s="23" t="n"/>
      <c r="N16" s="23" t="n"/>
      <c r="O16" s="23" t="n"/>
      <c r="P16" s="23" t="n"/>
      <c r="Q16" s="23" t="n"/>
      <c r="R16" s="23" t="n"/>
      <c r="S16" s="23" t="n"/>
      <c r="T16" s="23" t="n"/>
      <c r="U16" s="23" t="n"/>
      <c r="V16" s="23" t="n"/>
      <c r="W16" s="23" t="n"/>
      <c r="X16" s="23" t="n"/>
      <c r="Y16" s="23" t="n"/>
      <c r="Z16" s="23" t="n"/>
    </row>
    <row r="17" ht="15.75" customHeight="1" s="86">
      <c r="A17" s="75" t="inlineStr">
        <is>
          <t>Working Hours per Week(Digits)**</t>
        </is>
      </c>
      <c r="B17" s="73" t="inlineStr">
        <is>
          <t>C</t>
        </is>
      </c>
      <c r="C17" s="74" t="inlineStr">
        <is>
          <t>Numeric</t>
        </is>
      </c>
      <c r="D17" s="74" t="n"/>
      <c r="E17" s="79" t="inlineStr">
        <is>
          <t>M and appears if Paytype is hourly. Value between 0.25 and 40.</t>
        </is>
      </c>
      <c r="F17" s="73" t="n">
        <v>1</v>
      </c>
      <c r="G17" s="73" t="n">
        <v>2</v>
      </c>
      <c r="H17" s="76" t="inlineStr">
        <is>
          <t>Please Enter valid Working hours per week</t>
        </is>
      </c>
      <c r="I17" s="23" t="n"/>
      <c r="J17" s="23" t="n"/>
      <c r="K17" s="23" t="n"/>
      <c r="L17" s="23" t="n"/>
      <c r="M17" s="23" t="n"/>
      <c r="N17" s="23" t="n"/>
      <c r="O17" s="23" t="n"/>
      <c r="P17" s="23" t="n"/>
      <c r="Q17" s="23" t="n"/>
      <c r="R17" s="23" t="n"/>
      <c r="S17" s="23" t="n"/>
      <c r="T17" s="23" t="n"/>
      <c r="U17" s="23" t="n"/>
      <c r="V17" s="23" t="n"/>
      <c r="W17" s="23" t="n"/>
      <c r="X17" s="23" t="n"/>
      <c r="Y17" s="23" t="n"/>
      <c r="Z17" s="23" t="n"/>
    </row>
    <row r="18" ht="15.75" customHeight="1" s="86">
      <c r="A18" s="75" t="inlineStr">
        <is>
          <t>Others(Employement-Type)</t>
        </is>
      </c>
      <c r="B18" s="73" t="inlineStr">
        <is>
          <t>C</t>
        </is>
      </c>
      <c r="C18" s="74" t="inlineStr">
        <is>
          <t>Text box</t>
        </is>
      </c>
      <c r="D18" s="74" t="n"/>
      <c r="E18" s="79" t="inlineStr">
        <is>
          <t>M and appears if Employment Type is Others.</t>
        </is>
      </c>
      <c r="F18" s="73" t="n">
        <v>1</v>
      </c>
      <c r="G18" s="73" t="n">
        <v>50</v>
      </c>
      <c r="H18" s="76" t="inlineStr">
        <is>
          <t>Please Enter a valid Employment Type</t>
        </is>
      </c>
      <c r="I18" s="23" t="n"/>
      <c r="J18" s="23" t="n"/>
      <c r="K18" s="23" t="n"/>
      <c r="L18" s="23" t="n"/>
      <c r="M18" s="23" t="n"/>
      <c r="N18" s="23" t="n"/>
      <c r="O18" s="23" t="n"/>
      <c r="P18" s="23" t="n"/>
      <c r="Q18" s="23" t="n"/>
      <c r="R18" s="23" t="n"/>
      <c r="S18" s="23" t="n"/>
      <c r="T18" s="23" t="n"/>
      <c r="U18" s="23" t="n"/>
      <c r="V18" s="23" t="n"/>
      <c r="W18" s="23" t="n"/>
      <c r="X18" s="23" t="n"/>
      <c r="Y18" s="23" t="n"/>
      <c r="Z18" s="23" t="n"/>
    </row>
    <row r="19" ht="15.75" customHeight="1" s="86">
      <c r="A19" s="75" t="inlineStr">
        <is>
          <t>Annual Salary(Digits)</t>
        </is>
      </c>
      <c r="B19" s="73" t="inlineStr">
        <is>
          <t>C</t>
        </is>
      </c>
      <c r="C19" s="74" t="inlineStr">
        <is>
          <t>Numeric</t>
        </is>
      </c>
      <c r="D19" s="74" t="n"/>
      <c r="E19" s="79" t="inlineStr">
        <is>
          <t>M and appears if Paytype Type is Salaried.</t>
        </is>
      </c>
      <c r="F19" s="73" t="n">
        <v>1</v>
      </c>
      <c r="G19" s="73" t="n">
        <v>10</v>
      </c>
      <c r="H19" s="76" t="inlineStr">
        <is>
          <t>Please Enter a valid Annual Salary</t>
        </is>
      </c>
      <c r="I19" s="23" t="n"/>
      <c r="J19" s="23" t="n"/>
      <c r="K19" s="23" t="n"/>
      <c r="L19" s="23" t="n"/>
      <c r="M19" s="23" t="n"/>
      <c r="N19" s="23" t="n"/>
      <c r="O19" s="23" t="n"/>
      <c r="P19" s="23" t="n"/>
      <c r="Q19" s="23" t="n"/>
      <c r="R19" s="23" t="n"/>
      <c r="S19" s="23" t="n"/>
      <c r="T19" s="23" t="n"/>
      <c r="U19" s="23" t="n"/>
      <c r="V19" s="23" t="n"/>
      <c r="W19" s="23" t="n"/>
      <c r="X19" s="23" t="n"/>
      <c r="Y19" s="23" t="n"/>
      <c r="Z19" s="23" t="n"/>
    </row>
    <row r="20" ht="15.75" customHeight="1" s="86">
      <c r="A20" s="77" t="inlineStr">
        <is>
          <t>Employee Class</t>
        </is>
      </c>
      <c r="B20" s="73" t="inlineStr">
        <is>
          <t>O</t>
        </is>
      </c>
      <c r="C20" s="74" t="inlineStr">
        <is>
          <t>Drop down</t>
        </is>
      </c>
      <c r="D20" s="74" t="n"/>
      <c r="E20" s="79" t="inlineStr">
        <is>
          <t>Values appear based on the created classes by the employer. In no value is selected, default class is assigned.</t>
        </is>
      </c>
      <c r="F20" s="73" t="n">
        <v>1</v>
      </c>
      <c r="G20" s="73" t="n">
        <v>50</v>
      </c>
      <c r="H20" s="74" t="n"/>
      <c r="I20" s="23" t="n"/>
      <c r="J20" s="23" t="n"/>
      <c r="K20" s="23" t="n"/>
      <c r="L20" s="23" t="n"/>
      <c r="M20" s="23" t="n"/>
      <c r="N20" s="23" t="n"/>
      <c r="O20" s="23" t="n"/>
      <c r="P20" s="23" t="n"/>
      <c r="Q20" s="23" t="n"/>
      <c r="R20" s="23" t="n"/>
      <c r="S20" s="23" t="n"/>
      <c r="T20" s="23" t="n"/>
      <c r="U20" s="23" t="n"/>
      <c r="V20" s="23" t="n"/>
      <c r="W20" s="23" t="n"/>
      <c r="X20" s="23" t="n"/>
      <c r="Y20" s="23" t="n"/>
      <c r="Z20" s="23" t="n"/>
    </row>
    <row r="21" ht="15.75" customHeight="1" s="86">
      <c r="A21" s="75" t="inlineStr">
        <is>
          <t>Preferred Communication Mode</t>
        </is>
      </c>
      <c r="B21" s="78" t="n"/>
      <c r="C21" s="78" t="n"/>
      <c r="D21" s="78" t="n"/>
      <c r="E21" s="78" t="n"/>
      <c r="F21" s="78" t="n"/>
      <c r="G21" s="78" t="n"/>
      <c r="H21" s="78" t="n"/>
      <c r="I21" s="23" t="n"/>
      <c r="J21" s="23" t="n"/>
      <c r="K21" s="23" t="n"/>
      <c r="L21" s="23" t="n"/>
      <c r="M21" s="23" t="n"/>
      <c r="N21" s="23" t="n"/>
      <c r="O21" s="23" t="n"/>
      <c r="P21" s="23" t="n"/>
      <c r="Q21" s="23" t="n"/>
      <c r="R21" s="23" t="n"/>
      <c r="S21" s="23" t="n"/>
      <c r="T21" s="23" t="n"/>
      <c r="U21" s="23" t="n"/>
      <c r="V21" s="23" t="n"/>
      <c r="W21" s="23" t="n"/>
      <c r="X21" s="23" t="n"/>
      <c r="Y21" s="23" t="n"/>
      <c r="Z21" s="23" t="n"/>
    </row>
    <row r="22" ht="15.75" customHeight="1" s="86">
      <c r="A22" s="80" t="inlineStr">
        <is>
          <t>Pay Frequency</t>
        </is>
      </c>
      <c r="B22" s="73" t="inlineStr">
        <is>
          <t>C</t>
        </is>
      </c>
      <c r="C22" s="74" t="inlineStr">
        <is>
          <t>Drop down</t>
        </is>
      </c>
      <c r="D22" s="74" t="inlineStr">
        <is>
          <t>Weekly/ Monthly/ Bi-Weekly/ Semi-Weekly</t>
        </is>
      </c>
      <c r="E22" s="79" t="inlineStr">
        <is>
          <t>Dropdown with Multiple selection allowed. Atleast one criteria is required.</t>
        </is>
      </c>
      <c r="F22" s="73" t="n">
        <v>1</v>
      </c>
      <c r="G22" s="73" t="n">
        <v>20</v>
      </c>
      <c r="H22" s="76" t="inlineStr">
        <is>
          <t>Please select all applicable Pay Schedule</t>
        </is>
      </c>
      <c r="I22" s="23" t="n"/>
      <c r="J22" s="23" t="n"/>
      <c r="K22" s="23" t="n"/>
      <c r="L22" s="23" t="n"/>
      <c r="M22" s="23" t="n"/>
      <c r="N22" s="23" t="n"/>
      <c r="O22" s="23" t="n"/>
      <c r="P22" s="23" t="n"/>
      <c r="Q22" s="23" t="n"/>
      <c r="R22" s="23" t="n"/>
      <c r="S22" s="23" t="n"/>
      <c r="T22" s="23" t="n"/>
      <c r="U22" s="23" t="n"/>
      <c r="V22" s="23" t="n"/>
      <c r="W22" s="23" t="n"/>
      <c r="X22" s="23" t="n"/>
      <c r="Y22" s="23" t="n"/>
      <c r="Z22" s="23" t="n"/>
    </row>
    <row r="23" ht="15.75" customHeight="1" s="86">
      <c r="A23" s="80" t="inlineStr">
        <is>
          <t>Pay Type</t>
        </is>
      </c>
      <c r="B23" s="73" t="inlineStr">
        <is>
          <t>C</t>
        </is>
      </c>
      <c r="C23" s="74" t="inlineStr">
        <is>
          <t>Drop down</t>
        </is>
      </c>
      <c r="D23" s="74" t="inlineStr">
        <is>
          <t>Salaried/ Hourly</t>
        </is>
      </c>
      <c r="E23" s="79" t="inlineStr">
        <is>
          <t>Dropdown with Multiple selection allowed. Atleast one criteria is required.</t>
        </is>
      </c>
      <c r="F23" s="73" t="n">
        <v>1</v>
      </c>
      <c r="G23" s="73" t="n">
        <v>20</v>
      </c>
      <c r="H23" s="76" t="inlineStr">
        <is>
          <t>Please select all applicable Pay Type</t>
        </is>
      </c>
      <c r="I23" s="23" t="n"/>
      <c r="J23" s="23" t="n"/>
      <c r="K23" s="23" t="n"/>
      <c r="L23" s="23" t="n"/>
      <c r="M23" s="23" t="n"/>
      <c r="N23" s="23" t="n"/>
      <c r="O23" s="23" t="n"/>
      <c r="P23" s="23" t="n"/>
      <c r="Q23" s="23" t="n"/>
      <c r="R23" s="23" t="n"/>
      <c r="S23" s="23" t="n"/>
      <c r="T23" s="23" t="n"/>
      <c r="U23" s="23" t="n"/>
      <c r="V23" s="23" t="n"/>
      <c r="W23" s="23" t="n"/>
      <c r="X23" s="23" t="n"/>
      <c r="Y23" s="23" t="n"/>
      <c r="Z23" s="23" t="n"/>
    </row>
    <row r="24" ht="15.75" customHeight="1" s="86">
      <c r="A24" s="78" t="inlineStr">
        <is>
          <t>Designation</t>
        </is>
      </c>
      <c r="B24" s="73" t="inlineStr">
        <is>
          <t>C</t>
        </is>
      </c>
      <c r="C24" s="74" t="inlineStr">
        <is>
          <t>Drop down</t>
        </is>
      </c>
      <c r="D24" s="74" t="n"/>
      <c r="E24" s="79" t="inlineStr">
        <is>
          <t>Values appear based on the Designation values in the existing roster. At least one value is required.</t>
        </is>
      </c>
      <c r="F24" s="73" t="n">
        <v>1</v>
      </c>
      <c r="G24" s="73" t="n">
        <v>30</v>
      </c>
      <c r="H24" s="76" t="inlineStr">
        <is>
          <t>Please select all applicable Designations</t>
        </is>
      </c>
      <c r="I24" s="23" t="n"/>
      <c r="J24" s="23" t="n"/>
      <c r="K24" s="23" t="n"/>
      <c r="L24" s="23" t="n"/>
      <c r="M24" s="23" t="n"/>
      <c r="N24" s="23" t="n"/>
      <c r="O24" s="23" t="n"/>
      <c r="P24" s="23" t="n"/>
      <c r="Q24" s="23" t="n"/>
      <c r="R24" s="23" t="n"/>
      <c r="S24" s="23" t="n"/>
      <c r="T24" s="23" t="n"/>
      <c r="U24" s="23" t="n"/>
      <c r="V24" s="23" t="n"/>
      <c r="W24" s="23" t="n"/>
      <c r="X24" s="23" t="n"/>
      <c r="Y24" s="23" t="n"/>
      <c r="Z24" s="23" t="n"/>
    </row>
    <row r="25" ht="15.75" customHeight="1" s="86">
      <c r="A25" s="78" t="inlineStr">
        <is>
          <t>Department</t>
        </is>
      </c>
      <c r="B25" s="73" t="inlineStr">
        <is>
          <t>O</t>
        </is>
      </c>
      <c r="C25" s="74" t="inlineStr">
        <is>
          <t>Text box</t>
        </is>
      </c>
      <c r="D25" s="74" t="n"/>
      <c r="E25" s="74" t="n"/>
      <c r="F25" s="73" t="n">
        <v>1</v>
      </c>
      <c r="G25" s="73" t="n">
        <v>50</v>
      </c>
      <c r="H25" s="74" t="n"/>
      <c r="I25" s="23" t="n"/>
      <c r="J25" s="23" t="n"/>
      <c r="K25" s="23" t="n"/>
      <c r="L25" s="23" t="n"/>
      <c r="M25" s="23" t="n"/>
      <c r="N25" s="23" t="n"/>
      <c r="O25" s="23" t="n"/>
      <c r="P25" s="23" t="n"/>
      <c r="Q25" s="23" t="n"/>
      <c r="R25" s="23" t="n"/>
      <c r="S25" s="23" t="n"/>
      <c r="T25" s="23" t="n"/>
      <c r="U25" s="23" t="n"/>
      <c r="V25" s="23" t="n"/>
      <c r="W25" s="23" t="n"/>
      <c r="X25" s="23" t="n"/>
      <c r="Y25" s="23" t="n"/>
      <c r="Z25" s="23" t="n"/>
    </row>
    <row r="26" ht="15.75" customHeight="1" s="86">
      <c r="A26" s="80" t="inlineStr">
        <is>
          <t>Personal Email</t>
        </is>
      </c>
      <c r="B26" s="73" t="inlineStr">
        <is>
          <t>M</t>
        </is>
      </c>
      <c r="C26" s="74" t="inlineStr">
        <is>
          <t>Text box</t>
        </is>
      </c>
      <c r="D26" s="74" t="n"/>
      <c r="E26" s="74" t="inlineStr">
        <is>
          <t>Email ID should contain "@" and "."</t>
        </is>
      </c>
      <c r="F26" s="73" t="n">
        <v>5</v>
      </c>
      <c r="G26" s="73" t="n">
        <v>100</v>
      </c>
      <c r="H26" s="76" t="inlineStr">
        <is>
          <t>Please Enter a Valid email</t>
        </is>
      </c>
      <c r="I26" s="23" t="n"/>
      <c r="J26" s="23" t="n"/>
      <c r="K26" s="23" t="n"/>
      <c r="L26" s="23" t="n"/>
      <c r="M26" s="23" t="n"/>
      <c r="N26" s="23" t="n"/>
      <c r="O26" s="23" t="n"/>
      <c r="P26" s="23" t="n"/>
      <c r="Q26" s="23" t="n"/>
      <c r="R26" s="23" t="n"/>
      <c r="S26" s="23" t="n"/>
      <c r="T26" s="23" t="n"/>
      <c r="U26" s="23" t="n"/>
      <c r="V26" s="23" t="n"/>
      <c r="W26" s="23" t="n"/>
      <c r="X26" s="23" t="n"/>
      <c r="Y26" s="23" t="n"/>
      <c r="Z26" s="23" t="n"/>
    </row>
    <row r="27" ht="15.75" customHeight="1" s="86">
      <c r="A27" s="75" t="inlineStr">
        <is>
          <t>Official Email</t>
        </is>
      </c>
      <c r="B27" s="73" t="inlineStr">
        <is>
          <t>M</t>
        </is>
      </c>
      <c r="C27" s="74" t="inlineStr">
        <is>
          <t>Text box</t>
        </is>
      </c>
      <c r="D27" s="74" t="n"/>
      <c r="E27" s="74" t="inlineStr">
        <is>
          <t>Email ID should contain "@" and "."</t>
        </is>
      </c>
      <c r="F27" s="73" t="n">
        <v>5</v>
      </c>
      <c r="G27" s="73" t="n">
        <v>100</v>
      </c>
      <c r="H27" s="74" t="n"/>
      <c r="I27" s="23" t="n"/>
      <c r="J27" s="23" t="n"/>
      <c r="K27" s="23" t="n"/>
      <c r="L27" s="23" t="n"/>
      <c r="M27" s="23" t="n"/>
      <c r="N27" s="23" t="n"/>
      <c r="O27" s="23" t="n"/>
      <c r="P27" s="23" t="n"/>
      <c r="Q27" s="23" t="n"/>
      <c r="R27" s="23" t="n"/>
      <c r="S27" s="23" t="n"/>
      <c r="T27" s="23" t="n"/>
      <c r="U27" s="23" t="n"/>
      <c r="V27" s="23" t="n"/>
      <c r="W27" s="23" t="n"/>
      <c r="X27" s="23" t="n"/>
      <c r="Y27" s="23" t="n"/>
      <c r="Z27" s="23" t="n"/>
    </row>
    <row r="28" ht="15.75" customHeight="1" s="86">
      <c r="A28" s="75" t="inlineStr">
        <is>
          <t>Phone Number(Digits)</t>
        </is>
      </c>
      <c r="B28" s="73" t="inlineStr">
        <is>
          <t>O</t>
        </is>
      </c>
      <c r="C28" s="74" t="inlineStr">
        <is>
          <t>Numeric</t>
        </is>
      </c>
      <c r="D28" s="74" t="n"/>
      <c r="E28" s="74" t="n"/>
      <c r="F28" s="73" t="n">
        <v>1</v>
      </c>
      <c r="G28" s="73" t="n">
        <v>10</v>
      </c>
      <c r="H28" s="76" t="inlineStr">
        <is>
          <t>Please enter Phone number in 10 digits</t>
        </is>
      </c>
      <c r="I28" s="23" t="n"/>
      <c r="J28" s="23" t="n"/>
      <c r="K28" s="23" t="n"/>
      <c r="L28" s="23" t="n"/>
      <c r="M28" s="23" t="n"/>
      <c r="N28" s="23" t="n"/>
      <c r="O28" s="23" t="n"/>
      <c r="P28" s="23" t="n"/>
      <c r="Q28" s="23" t="n"/>
      <c r="R28" s="23" t="n"/>
      <c r="S28" s="23" t="n"/>
      <c r="T28" s="23" t="n"/>
      <c r="U28" s="23" t="n"/>
      <c r="V28" s="23" t="n"/>
      <c r="W28" s="23" t="n"/>
      <c r="X28" s="23" t="n"/>
      <c r="Y28" s="23" t="n"/>
      <c r="Z28" s="23" t="n"/>
    </row>
    <row r="29" ht="15.75" customHeight="1" s="86">
      <c r="A29" s="75" t="inlineStr">
        <is>
          <t>Employee Address Line 1</t>
        </is>
      </c>
      <c r="B29" s="73" t="inlineStr">
        <is>
          <t>M</t>
        </is>
      </c>
      <c r="C29" s="74" t="inlineStr">
        <is>
          <t>Text box</t>
        </is>
      </c>
      <c r="D29" s="74" t="inlineStr">
        <is>
          <t>Free text including special characters</t>
        </is>
      </c>
      <c r="E29" s="74" t="n"/>
      <c r="F29" s="73" t="n">
        <v>1</v>
      </c>
      <c r="G29" s="73" t="n">
        <v>55</v>
      </c>
      <c r="H29" s="76" t="inlineStr">
        <is>
          <t>Please enter Address 1 upto 55 characters</t>
        </is>
      </c>
      <c r="I29" s="23" t="n"/>
      <c r="J29" s="23" t="n"/>
      <c r="K29" s="23" t="n"/>
      <c r="L29" s="23" t="n"/>
      <c r="M29" s="23" t="n"/>
      <c r="N29" s="23" t="n"/>
      <c r="O29" s="23" t="n"/>
      <c r="P29" s="23" t="n"/>
      <c r="Q29" s="23" t="n"/>
      <c r="R29" s="23" t="n"/>
      <c r="S29" s="23" t="n"/>
      <c r="T29" s="23" t="n"/>
      <c r="U29" s="23" t="n"/>
      <c r="V29" s="23" t="n"/>
      <c r="W29" s="23" t="n"/>
      <c r="X29" s="23" t="n"/>
      <c r="Y29" s="23" t="n"/>
      <c r="Z29" s="23" t="n"/>
    </row>
    <row r="30" ht="15.75" customHeight="1" s="86">
      <c r="A30" s="77" t="inlineStr">
        <is>
          <t>Employee Address Line 2</t>
        </is>
      </c>
      <c r="B30" s="73" t="inlineStr">
        <is>
          <t>O</t>
        </is>
      </c>
      <c r="C30" s="74" t="inlineStr">
        <is>
          <t>Text box</t>
        </is>
      </c>
      <c r="D30" s="74" t="inlineStr">
        <is>
          <t>Free text including special characters</t>
        </is>
      </c>
      <c r="E30" s="74" t="inlineStr">
        <is>
          <t>Should not be similar to Address Line 1</t>
        </is>
      </c>
      <c r="F30" s="73" t="n">
        <v>1</v>
      </c>
      <c r="G30" s="73" t="n">
        <v>55</v>
      </c>
      <c r="H30" s="76" t="inlineStr">
        <is>
          <t>Please enter Address 2 upto 55 characters and should be different from Address 1</t>
        </is>
      </c>
      <c r="I30" s="23" t="n"/>
      <c r="J30" s="23" t="n"/>
      <c r="K30" s="23" t="n"/>
      <c r="L30" s="23" t="n"/>
      <c r="M30" s="23" t="n"/>
      <c r="N30" s="23" t="n"/>
      <c r="O30" s="23" t="n"/>
      <c r="P30" s="23" t="n"/>
      <c r="Q30" s="23" t="n"/>
      <c r="R30" s="23" t="n"/>
      <c r="S30" s="23" t="n"/>
      <c r="T30" s="23" t="n"/>
      <c r="U30" s="23" t="n"/>
      <c r="V30" s="23" t="n"/>
      <c r="W30" s="23" t="n"/>
      <c r="X30" s="23" t="n"/>
      <c r="Y30" s="23" t="n"/>
      <c r="Z30" s="23" t="n"/>
    </row>
    <row r="31" ht="15.75" customHeight="1" s="86">
      <c r="A31" s="75" t="inlineStr">
        <is>
          <t>City</t>
        </is>
      </c>
      <c r="B31" s="73" t="inlineStr">
        <is>
          <t>M</t>
        </is>
      </c>
      <c r="C31" s="74" t="inlineStr">
        <is>
          <t>Text box</t>
        </is>
      </c>
      <c r="D31" s="74" t="inlineStr">
        <is>
          <t>Free text including special characters</t>
        </is>
      </c>
      <c r="E31" s="74" t="n"/>
      <c r="F31" s="73" t="n">
        <v>2</v>
      </c>
      <c r="G31" s="73" t="n">
        <v>30</v>
      </c>
      <c r="H31" s="76" t="inlineStr">
        <is>
          <t>Please provide City</t>
        </is>
      </c>
      <c r="I31" s="23" t="n"/>
      <c r="J31" s="23" t="n"/>
      <c r="K31" s="23" t="n"/>
      <c r="L31" s="23" t="n"/>
      <c r="M31" s="23" t="n"/>
      <c r="N31" s="23" t="n"/>
      <c r="O31" s="23" t="n"/>
      <c r="P31" s="23" t="n"/>
      <c r="Q31" s="23" t="n"/>
      <c r="R31" s="23" t="n"/>
      <c r="S31" s="23" t="n"/>
      <c r="T31" s="23" t="n"/>
      <c r="U31" s="23" t="n"/>
      <c r="V31" s="23" t="n"/>
      <c r="W31" s="23" t="n"/>
      <c r="X31" s="23" t="n"/>
      <c r="Y31" s="23" t="n"/>
      <c r="Z31" s="23" t="n"/>
    </row>
    <row r="32" ht="15.75" customHeight="1" s="86">
      <c r="A32" s="75" t="inlineStr">
        <is>
          <t>ZIPCODE</t>
        </is>
      </c>
      <c r="B32" s="73" t="inlineStr">
        <is>
          <t>M</t>
        </is>
      </c>
      <c r="C32" s="74" t="inlineStr">
        <is>
          <t>Text box</t>
        </is>
      </c>
      <c r="D32" s="79" t="inlineStr">
        <is>
          <t>Numeric</t>
        </is>
      </c>
      <c r="E32" s="74" t="inlineStr">
        <is>
          <t>5-digits only, leading zeros is allowed</t>
        </is>
      </c>
      <c r="F32" s="81" t="n">
        <v>5</v>
      </c>
      <c r="G32" s="81" t="n">
        <v>5</v>
      </c>
      <c r="H32" s="82" t="inlineStr">
        <is>
          <t>Please provide 5-digits valid ZipCode</t>
        </is>
      </c>
      <c r="I32" s="23" t="n"/>
      <c r="J32" s="23" t="n"/>
      <c r="K32" s="23" t="n"/>
      <c r="L32" s="23" t="n"/>
      <c r="M32" s="23" t="n"/>
      <c r="N32" s="23" t="n"/>
      <c r="O32" s="23" t="n"/>
      <c r="P32" s="23" t="n"/>
      <c r="Q32" s="23" t="n"/>
      <c r="R32" s="23" t="n"/>
      <c r="S32" s="23" t="n"/>
      <c r="T32" s="23" t="n"/>
      <c r="U32" s="23" t="n"/>
      <c r="V32" s="23" t="n"/>
      <c r="W32" s="23" t="n"/>
      <c r="X32" s="23" t="n"/>
      <c r="Y32" s="23" t="n"/>
      <c r="Z32" s="23" t="n"/>
    </row>
    <row r="33" ht="15.75" customHeight="1" s="86">
      <c r="A33" s="75" t="inlineStr">
        <is>
          <t>State(Abbreviation)</t>
        </is>
      </c>
      <c r="B33" s="73" t="inlineStr">
        <is>
          <t>M</t>
        </is>
      </c>
      <c r="C33" s="74" t="inlineStr">
        <is>
          <t>Text box</t>
        </is>
      </c>
      <c r="D33" s="79" t="inlineStr">
        <is>
          <t>NA</t>
        </is>
      </c>
      <c r="E33" s="79" t="inlineStr">
        <is>
          <t>Should be populated as per ZipCode selection by user</t>
        </is>
      </c>
      <c r="F33" s="73" t="n">
        <v>2</v>
      </c>
      <c r="G33" s="73" t="n">
        <v>2</v>
      </c>
      <c r="H33" s="74" t="n"/>
      <c r="I33" s="23" t="n"/>
      <c r="J33" s="23" t="n"/>
      <c r="K33" s="23" t="n"/>
      <c r="L33" s="23" t="n"/>
      <c r="M33" s="23" t="n"/>
      <c r="N33" s="23" t="n"/>
      <c r="O33" s="23" t="n"/>
      <c r="P33" s="23" t="n"/>
      <c r="Q33" s="23" t="n"/>
      <c r="R33" s="23" t="n"/>
      <c r="S33" s="23" t="n"/>
      <c r="T33" s="23" t="n"/>
      <c r="U33" s="23" t="n"/>
      <c r="V33" s="23" t="n"/>
      <c r="W33" s="23" t="n"/>
      <c r="X33" s="23" t="n"/>
      <c r="Y33" s="23" t="n"/>
      <c r="Z33" s="23" t="n"/>
    </row>
    <row r="34" ht="15.75" customHeight="1" s="86">
      <c r="A34" s="75" t="inlineStr">
        <is>
          <t>COUNTY</t>
        </is>
      </c>
      <c r="B34" s="73" t="inlineStr">
        <is>
          <t>M</t>
        </is>
      </c>
      <c r="C34" s="74" t="inlineStr">
        <is>
          <t>Drop down</t>
        </is>
      </c>
      <c r="D34" s="79" t="inlineStr">
        <is>
          <t>NA</t>
        </is>
      </c>
      <c r="E34" s="79" t="inlineStr">
        <is>
          <t>Should be populated as per ZipCode entered by user</t>
        </is>
      </c>
      <c r="F34" s="73" t="inlineStr">
        <is>
          <t>NA</t>
        </is>
      </c>
      <c r="G34" s="73" t="inlineStr">
        <is>
          <t>NA</t>
        </is>
      </c>
      <c r="H34" s="76" t="inlineStr">
        <is>
          <t>Please provide County</t>
        </is>
      </c>
      <c r="I34" s="23" t="n"/>
      <c r="J34" s="23" t="n"/>
      <c r="K34" s="23" t="n"/>
      <c r="L34" s="23" t="n"/>
      <c r="M34" s="23" t="n"/>
      <c r="N34" s="23" t="n"/>
      <c r="O34" s="23" t="n"/>
      <c r="P34" s="23" t="n"/>
      <c r="Q34" s="23" t="n"/>
      <c r="R34" s="23" t="n"/>
      <c r="S34" s="23" t="n"/>
      <c r="T34" s="23" t="n"/>
      <c r="U34" s="23" t="n"/>
      <c r="V34" s="23" t="n"/>
      <c r="W34" s="23" t="n"/>
      <c r="X34" s="23" t="n"/>
      <c r="Y34" s="23" t="n"/>
      <c r="Z34" s="23" t="n"/>
    </row>
    <row r="35" ht="15.75" customHeight="1" s="86">
      <c r="A35" s="83" t="inlineStr">
        <is>
          <t>Hourly Pay Rate**</t>
        </is>
      </c>
      <c r="B35" s="73" t="inlineStr">
        <is>
          <t>C</t>
        </is>
      </c>
      <c r="C35" s="74" t="inlineStr">
        <is>
          <t>Numeric</t>
        </is>
      </c>
      <c r="D35" s="74" t="n"/>
      <c r="E35" s="79" t="inlineStr">
        <is>
          <t>M and appears if Paytype is hourly.</t>
        </is>
      </c>
      <c r="F35" s="73" t="n">
        <v>1</v>
      </c>
      <c r="G35" s="73" t="n">
        <v>5</v>
      </c>
      <c r="H35" s="74" t="n"/>
      <c r="I35" s="23" t="n"/>
      <c r="J35" s="23" t="n"/>
      <c r="K35" s="23" t="n"/>
      <c r="L35" s="23" t="n"/>
      <c r="M35" s="23" t="n"/>
      <c r="N35" s="23" t="n"/>
      <c r="O35" s="23" t="n"/>
      <c r="P35" s="23" t="n"/>
      <c r="Q35" s="23" t="n"/>
      <c r="R35" s="23" t="n"/>
      <c r="S35" s="23" t="n"/>
      <c r="T35" s="23" t="n"/>
      <c r="U35" s="23" t="n"/>
      <c r="V35" s="23" t="n"/>
      <c r="W35" s="23" t="n"/>
      <c r="X35" s="23" t="n"/>
      <c r="Y35" s="23" t="n"/>
      <c r="Z35" s="23" t="n"/>
    </row>
    <row r="36" ht="15.75" customHeight="1" s="86">
      <c r="A36" s="84" t="inlineStr">
        <is>
          <t>Custom Field</t>
        </is>
      </c>
      <c r="B36" s="73" t="inlineStr">
        <is>
          <t>Any custom field that can be added/ deleted</t>
        </is>
      </c>
      <c r="C36" s="78" t="n"/>
      <c r="D36" s="78" t="n"/>
      <c r="E36" s="78" t="n"/>
      <c r="F36" s="78" t="n"/>
      <c r="G36" s="78" t="n"/>
      <c r="H36" s="78" t="n"/>
      <c r="I36" s="23" t="n"/>
      <c r="J36" s="23" t="n"/>
      <c r="K36" s="23" t="n"/>
      <c r="L36" s="23" t="n"/>
      <c r="M36" s="23" t="n"/>
      <c r="N36" s="23" t="n"/>
      <c r="O36" s="23" t="n"/>
      <c r="P36" s="23" t="n"/>
      <c r="Q36" s="23" t="n"/>
      <c r="R36" s="23" t="n"/>
      <c r="S36" s="23" t="n"/>
      <c r="T36" s="23" t="n"/>
      <c r="U36" s="23" t="n"/>
      <c r="V36" s="23" t="n"/>
      <c r="W36" s="23" t="n"/>
      <c r="X36" s="23" t="n"/>
      <c r="Y36" s="23" t="n"/>
      <c r="Z36" s="23" t="n"/>
    </row>
    <row r="37" ht="15.75" customHeight="1" s="86">
      <c r="A37" s="77" t="inlineStr">
        <is>
          <t>Dependent 1 Prefix</t>
        </is>
      </c>
      <c r="B37" s="73" t="inlineStr">
        <is>
          <t>O</t>
        </is>
      </c>
      <c r="C37" s="74" t="inlineStr">
        <is>
          <t>Drop down</t>
        </is>
      </c>
      <c r="D37" s="74" t="inlineStr">
        <is>
          <t>Mr., Miss, Mrs., Ms., Dr.</t>
        </is>
      </c>
      <c r="E37" s="74" t="n"/>
      <c r="F37" s="73" t="inlineStr">
        <is>
          <t>NA</t>
        </is>
      </c>
      <c r="G37" s="73" t="inlineStr">
        <is>
          <t>NA</t>
        </is>
      </c>
      <c r="H37" s="74" t="n"/>
      <c r="I37" s="23" t="n"/>
      <c r="J37" s="23" t="n"/>
      <c r="K37" s="23" t="n"/>
      <c r="L37" s="23" t="n"/>
      <c r="M37" s="23" t="n"/>
      <c r="N37" s="23" t="n"/>
      <c r="O37" s="23" t="n"/>
      <c r="P37" s="23" t="n"/>
      <c r="Q37" s="23" t="n"/>
      <c r="R37" s="23" t="n"/>
      <c r="S37" s="23" t="n"/>
      <c r="T37" s="23" t="n"/>
      <c r="U37" s="23" t="n"/>
      <c r="V37" s="23" t="n"/>
      <c r="W37" s="23" t="n"/>
      <c r="X37" s="23" t="n"/>
      <c r="Y37" s="23" t="n"/>
      <c r="Z37" s="23" t="n"/>
    </row>
    <row r="38" ht="15.75" customHeight="1" s="86">
      <c r="A38" s="75" t="inlineStr">
        <is>
          <t>Dependent 1 First Name</t>
        </is>
      </c>
      <c r="B38" s="73" t="inlineStr">
        <is>
          <t>M</t>
        </is>
      </c>
      <c r="C38" s="74" t="n"/>
      <c r="D38" s="74" t="n"/>
      <c r="E38" s="74" t="inlineStr">
        <is>
          <t>Should be mandatory during registration and e-app</t>
        </is>
      </c>
      <c r="F38" s="73" t="n">
        <v>1</v>
      </c>
      <c r="G38" s="73" t="n">
        <v>35</v>
      </c>
      <c r="H38" s="76" t="inlineStr">
        <is>
          <t>Please enter your First Name upto 35 characters</t>
        </is>
      </c>
      <c r="I38" s="23" t="n"/>
      <c r="J38" s="23" t="n"/>
      <c r="K38" s="23" t="n"/>
      <c r="L38" s="23" t="n"/>
      <c r="M38" s="23" t="n"/>
      <c r="N38" s="23" t="n"/>
      <c r="O38" s="23" t="n"/>
      <c r="P38" s="23" t="n"/>
      <c r="Q38" s="23" t="n"/>
      <c r="R38" s="23" t="n"/>
      <c r="S38" s="23" t="n"/>
      <c r="T38" s="23" t="n"/>
      <c r="U38" s="23" t="n"/>
      <c r="V38" s="23" t="n"/>
      <c r="W38" s="23" t="n"/>
      <c r="X38" s="23" t="n"/>
      <c r="Y38" s="23" t="n"/>
      <c r="Z38" s="23" t="n"/>
    </row>
    <row r="39" ht="15.75" customHeight="1" s="86">
      <c r="A39" s="77" t="inlineStr">
        <is>
          <t>Dependent 1 Middle Initial</t>
        </is>
      </c>
      <c r="B39" s="73" t="inlineStr">
        <is>
          <t>O</t>
        </is>
      </c>
      <c r="C39" s="74" t="inlineStr">
        <is>
          <t>Text box</t>
        </is>
      </c>
      <c r="D39" s="74" t="inlineStr">
        <is>
          <t>Should be a single charecter in capital letters. Eg. M</t>
        </is>
      </c>
      <c r="E39" s="74" t="inlineStr">
        <is>
          <t>Should be non-mandatory at all places</t>
        </is>
      </c>
      <c r="F39" s="73" t="n">
        <v>1</v>
      </c>
      <c r="G39" s="73" t="n">
        <v>1</v>
      </c>
      <c r="H39" s="78" t="n"/>
      <c r="I39" s="23" t="n"/>
      <c r="J39" s="23" t="n"/>
      <c r="K39" s="23" t="n"/>
      <c r="L39" s="23" t="n"/>
      <c r="M39" s="23" t="n"/>
      <c r="N39" s="23" t="n"/>
      <c r="O39" s="23" t="n"/>
      <c r="P39" s="23" t="n"/>
      <c r="Q39" s="23" t="n"/>
      <c r="R39" s="23" t="n"/>
      <c r="S39" s="23" t="n"/>
      <c r="T39" s="23" t="n"/>
      <c r="U39" s="23" t="n"/>
      <c r="V39" s="23" t="n"/>
      <c r="W39" s="23" t="n"/>
      <c r="X39" s="23" t="n"/>
      <c r="Y39" s="23" t="n"/>
      <c r="Z39" s="23" t="n"/>
    </row>
    <row r="40" ht="15.75" customHeight="1" s="86">
      <c r="A40" s="75" t="inlineStr">
        <is>
          <t>Dependent 1 Last Name</t>
        </is>
      </c>
      <c r="B40" s="73" t="inlineStr">
        <is>
          <t>M</t>
        </is>
      </c>
      <c r="C40" s="74" t="inlineStr">
        <is>
          <t>Text box</t>
        </is>
      </c>
      <c r="D40" s="74" t="inlineStr">
        <is>
          <t>Free text including special characters</t>
        </is>
      </c>
      <c r="E40" s="74" t="inlineStr">
        <is>
          <t>Should be mandatory during registration and e-app</t>
        </is>
      </c>
      <c r="F40" s="73" t="n">
        <v>1</v>
      </c>
      <c r="G40" s="73" t="n">
        <v>60</v>
      </c>
      <c r="H40" s="76" t="inlineStr">
        <is>
          <t>Please enter your Last Name upto 60 characters</t>
        </is>
      </c>
      <c r="I40" s="23" t="n"/>
      <c r="J40" s="23" t="n"/>
      <c r="K40" s="23" t="n"/>
      <c r="L40" s="23" t="n"/>
      <c r="M40" s="23" t="n"/>
      <c r="N40" s="23" t="n"/>
      <c r="O40" s="23" t="n"/>
      <c r="P40" s="23" t="n"/>
      <c r="Q40" s="23" t="n"/>
      <c r="R40" s="23" t="n"/>
      <c r="S40" s="23" t="n"/>
      <c r="T40" s="23" t="n"/>
      <c r="U40" s="23" t="n"/>
      <c r="V40" s="23" t="n"/>
      <c r="W40" s="23" t="n"/>
      <c r="X40" s="23" t="n"/>
      <c r="Y40" s="23" t="n"/>
      <c r="Z40" s="23" t="n"/>
    </row>
    <row r="41" ht="15.75" customHeight="1" s="86">
      <c r="A41" s="77" t="inlineStr">
        <is>
          <t>Dependent 1 Suffix</t>
        </is>
      </c>
      <c r="B41" s="73" t="inlineStr">
        <is>
          <t>O</t>
        </is>
      </c>
      <c r="C41" s="74" t="inlineStr">
        <is>
          <t>Drop down</t>
        </is>
      </c>
      <c r="D41" s="74" t="inlineStr">
        <is>
          <t>Jr., Sr., I, II, III</t>
        </is>
      </c>
      <c r="E41" s="74" t="n"/>
      <c r="F41" s="73" t="inlineStr">
        <is>
          <t>NA</t>
        </is>
      </c>
      <c r="G41" s="73" t="inlineStr">
        <is>
          <t>NA</t>
        </is>
      </c>
      <c r="H41" s="78" t="n"/>
      <c r="I41" s="23" t="n"/>
      <c r="J41" s="23" t="n"/>
      <c r="K41" s="23" t="n"/>
      <c r="L41" s="23" t="n"/>
      <c r="M41" s="23" t="n"/>
      <c r="N41" s="23" t="n"/>
      <c r="O41" s="23" t="n"/>
      <c r="P41" s="23" t="n"/>
      <c r="Q41" s="23" t="n"/>
      <c r="R41" s="23" t="n"/>
      <c r="S41" s="23" t="n"/>
      <c r="T41" s="23" t="n"/>
      <c r="U41" s="23" t="n"/>
      <c r="V41" s="23" t="n"/>
      <c r="W41" s="23" t="n"/>
      <c r="X41" s="23" t="n"/>
      <c r="Y41" s="23" t="n"/>
      <c r="Z41" s="23" t="n"/>
    </row>
    <row r="42" ht="15.75" customHeight="1" s="86">
      <c r="A42" s="75" t="inlineStr">
        <is>
          <t>Dependent 1 DOB</t>
        </is>
      </c>
      <c r="B42" s="73" t="inlineStr">
        <is>
          <t>M</t>
        </is>
      </c>
      <c r="C42" s="74" t="inlineStr">
        <is>
          <t>Calender</t>
        </is>
      </c>
      <c r="D42" s="74" t="inlineStr">
        <is>
          <t>Upto 120 years of age (MM-DD-YYYY)</t>
        </is>
      </c>
      <c r="E42" s="74" t="n"/>
      <c r="F42" s="73" t="inlineStr">
        <is>
          <t>NA</t>
        </is>
      </c>
      <c r="G42" s="73" t="inlineStr">
        <is>
          <t>NA</t>
        </is>
      </c>
      <c r="H42" s="76" t="inlineStr">
        <is>
          <t>Please enter a valid Date of Birth</t>
        </is>
      </c>
      <c r="I42" s="23" t="n"/>
      <c r="J42" s="23" t="n"/>
      <c r="K42" s="23" t="n"/>
      <c r="L42" s="23" t="n"/>
      <c r="M42" s="23" t="n"/>
      <c r="N42" s="23" t="n"/>
      <c r="O42" s="23" t="n"/>
      <c r="P42" s="23" t="n"/>
      <c r="Q42" s="23" t="n"/>
      <c r="R42" s="23" t="n"/>
      <c r="S42" s="23" t="n"/>
      <c r="T42" s="23" t="n"/>
      <c r="U42" s="23" t="n"/>
      <c r="V42" s="23" t="n"/>
      <c r="W42" s="23" t="n"/>
      <c r="X42" s="23" t="n"/>
      <c r="Y42" s="23" t="n"/>
      <c r="Z42" s="23" t="n"/>
    </row>
    <row r="43" ht="15.75" customHeight="1" s="86">
      <c r="A43" s="75" t="inlineStr">
        <is>
          <t>Dependent 1 Gender</t>
        </is>
      </c>
      <c r="B43" s="73" t="inlineStr">
        <is>
          <t>M</t>
        </is>
      </c>
      <c r="C43" s="74" t="inlineStr">
        <is>
          <t>Radio button</t>
        </is>
      </c>
      <c r="D43" s="74" t="inlineStr">
        <is>
          <t>M/ F</t>
        </is>
      </c>
      <c r="E43" s="74" t="n"/>
      <c r="F43" s="73" t="n">
        <v>1</v>
      </c>
      <c r="G43" s="73" t="n">
        <v>10</v>
      </c>
      <c r="H43" s="76" t="inlineStr">
        <is>
          <t>Please select a Gender</t>
        </is>
      </c>
      <c r="I43" s="23" t="n"/>
      <c r="J43" s="23" t="n"/>
      <c r="K43" s="23" t="n"/>
      <c r="L43" s="23" t="n"/>
      <c r="M43" s="23" t="n"/>
      <c r="N43" s="23" t="n"/>
      <c r="O43" s="23" t="n"/>
      <c r="P43" s="23" t="n"/>
      <c r="Q43" s="23" t="n"/>
      <c r="R43" s="23" t="n"/>
      <c r="S43" s="23" t="n"/>
      <c r="T43" s="23" t="n"/>
      <c r="U43" s="23" t="n"/>
      <c r="V43" s="23" t="n"/>
      <c r="W43" s="23" t="n"/>
      <c r="X43" s="23" t="n"/>
      <c r="Y43" s="23" t="n"/>
      <c r="Z43" s="23" t="n"/>
    </row>
    <row r="44" ht="15.75" customHeight="1" s="86">
      <c r="A44" s="75" t="inlineStr">
        <is>
          <t>Dependent 1 tobacco_usage in last 12 months (Y/N)</t>
        </is>
      </c>
      <c r="B44" s="73" t="inlineStr">
        <is>
          <t>M</t>
        </is>
      </c>
      <c r="C44" s="74" t="inlineStr">
        <is>
          <t>Radio button</t>
        </is>
      </c>
      <c r="D44" s="74" t="inlineStr">
        <is>
          <t>Yes/ No</t>
        </is>
      </c>
      <c r="E44" s="74" t="n"/>
      <c r="F44" s="73" t="n">
        <v>1</v>
      </c>
      <c r="G44" s="73" t="n">
        <v>5</v>
      </c>
      <c r="H44" s="76" t="inlineStr">
        <is>
          <t>Please Select a valid Option</t>
        </is>
      </c>
      <c r="I44" s="23" t="n"/>
      <c r="J44" s="23" t="n"/>
      <c r="K44" s="23" t="n"/>
      <c r="L44" s="23" t="n"/>
      <c r="M44" s="23" t="n"/>
      <c r="N44" s="23" t="n"/>
      <c r="O44" s="23" t="n"/>
      <c r="P44" s="23" t="n"/>
      <c r="Q44" s="23" t="n"/>
      <c r="R44" s="23" t="n"/>
      <c r="S44" s="23" t="n"/>
      <c r="T44" s="23" t="n"/>
      <c r="U44" s="23" t="n"/>
      <c r="V44" s="23" t="n"/>
      <c r="W44" s="23" t="n"/>
      <c r="X44" s="23" t="n"/>
      <c r="Y44" s="23" t="n"/>
      <c r="Z44" s="23" t="n"/>
    </row>
    <row r="45" ht="15.75" customHeight="1" s="86">
      <c r="A45" s="75" t="inlineStr">
        <is>
          <t>Dependent 1 Relationship</t>
        </is>
      </c>
      <c r="B45" s="78" t="inlineStr">
        <is>
          <t>M</t>
        </is>
      </c>
      <c r="C45" s="74" t="inlineStr">
        <is>
          <t>Drop down</t>
        </is>
      </c>
      <c r="D45" s="74" t="inlineStr">
        <is>
          <t>Spouse
Child
Domestic Partner 
Other dependent</t>
        </is>
      </c>
      <c r="E45" s="78" t="n"/>
      <c r="F45" s="78" t="n"/>
      <c r="G45" s="78" t="n"/>
      <c r="H45" s="76" t="inlineStr">
        <is>
          <t>Please Select a valid Option</t>
        </is>
      </c>
      <c r="I45" s="23" t="n"/>
      <c r="J45" s="23" t="n"/>
      <c r="K45" s="23" t="n"/>
      <c r="L45" s="23" t="n"/>
      <c r="M45" s="23" t="n"/>
      <c r="N45" s="23" t="n"/>
      <c r="O45" s="23" t="n"/>
      <c r="P45" s="23" t="n"/>
      <c r="Q45" s="23" t="n"/>
      <c r="R45" s="23" t="n"/>
      <c r="S45" s="23" t="n"/>
      <c r="T45" s="23" t="n"/>
      <c r="U45" s="23" t="n"/>
      <c r="V45" s="23" t="n"/>
      <c r="W45" s="23" t="n"/>
      <c r="X45" s="23" t="n"/>
      <c r="Y45" s="23" t="n"/>
      <c r="Z45" s="23" t="n"/>
    </row>
    <row r="46" ht="15.75" customHeight="1" s="86">
      <c r="A46" s="75" t="inlineStr">
        <is>
          <t>Dependent 1 isDisabled (Y/N)</t>
        </is>
      </c>
      <c r="B46" s="78" t="inlineStr">
        <is>
          <t>M</t>
        </is>
      </c>
      <c r="C46" s="78" t="n"/>
      <c r="D46" s="74" t="inlineStr">
        <is>
          <t>Yes/ No</t>
        </is>
      </c>
      <c r="E46" s="78" t="n"/>
      <c r="F46" s="78" t="n"/>
      <c r="G46" s="78" t="n"/>
      <c r="H46" s="76" t="inlineStr">
        <is>
          <t>Please Select a valid Option</t>
        </is>
      </c>
      <c r="I46" s="23" t="n"/>
      <c r="J46" s="23" t="n"/>
      <c r="K46" s="23" t="n"/>
      <c r="L46" s="23" t="n"/>
      <c r="M46" s="23" t="n"/>
      <c r="N46" s="23" t="n"/>
      <c r="O46" s="23" t="n"/>
      <c r="P46" s="23" t="n"/>
      <c r="Q46" s="23" t="n"/>
      <c r="R46" s="23" t="n"/>
      <c r="S46" s="23" t="n"/>
      <c r="T46" s="23" t="n"/>
      <c r="U46" s="23" t="n"/>
      <c r="V46" s="23" t="n"/>
      <c r="W46" s="23" t="n"/>
      <c r="X46" s="23" t="n"/>
      <c r="Y46" s="23" t="n"/>
      <c r="Z46" s="23" t="n"/>
    </row>
    <row r="47" ht="15.75" customHeight="1" s="86">
      <c r="A47" s="75" t="inlineStr">
        <is>
          <t>Dependent 1 IsMarried(Y/N)</t>
        </is>
      </c>
      <c r="B47" s="78" t="inlineStr">
        <is>
          <t>M</t>
        </is>
      </c>
      <c r="C47" s="78" t="n"/>
      <c r="D47" s="74" t="inlineStr">
        <is>
          <t>Yes/ No</t>
        </is>
      </c>
      <c r="E47" s="78" t="n"/>
      <c r="F47" s="78" t="n"/>
      <c r="G47" s="78" t="n"/>
      <c r="H47" s="76" t="inlineStr">
        <is>
          <t>Please Select a valid Option</t>
        </is>
      </c>
      <c r="I47" s="23" t="n"/>
      <c r="J47" s="23" t="n"/>
      <c r="K47" s="23" t="n"/>
      <c r="L47" s="23" t="n"/>
      <c r="M47" s="23" t="n"/>
      <c r="N47" s="23" t="n"/>
      <c r="O47" s="23" t="n"/>
      <c r="P47" s="23" t="n"/>
      <c r="Q47" s="23" t="n"/>
      <c r="R47" s="23" t="n"/>
      <c r="S47" s="23" t="n"/>
      <c r="T47" s="23" t="n"/>
      <c r="U47" s="23" t="n"/>
      <c r="V47" s="23" t="n"/>
      <c r="W47" s="23" t="n"/>
      <c r="X47" s="23" t="n"/>
      <c r="Y47" s="23" t="n"/>
      <c r="Z47" s="23" t="n"/>
    </row>
    <row r="48" ht="15.75" customHeight="1" s="86">
      <c r="A48" s="77" t="inlineStr">
        <is>
          <t>Dependent 2 Prefix</t>
        </is>
      </c>
      <c r="B48" s="73" t="inlineStr">
        <is>
          <t>O</t>
        </is>
      </c>
      <c r="C48" s="74" t="inlineStr">
        <is>
          <t>Drop down</t>
        </is>
      </c>
      <c r="D48" s="74" t="inlineStr">
        <is>
          <t>Mr., Miss, Mrs., Ms., Dr.</t>
        </is>
      </c>
      <c r="E48" s="74" t="n"/>
      <c r="F48" s="73" t="inlineStr">
        <is>
          <t>NA</t>
        </is>
      </c>
      <c r="G48" s="73" t="inlineStr">
        <is>
          <t>NA</t>
        </is>
      </c>
      <c r="H48" s="74" t="n"/>
      <c r="I48" s="23" t="n"/>
      <c r="J48" s="23" t="n"/>
      <c r="K48" s="23" t="n"/>
      <c r="L48" s="23" t="n"/>
      <c r="M48" s="23" t="n"/>
      <c r="N48" s="23" t="n"/>
      <c r="O48" s="23" t="n"/>
      <c r="P48" s="23" t="n"/>
      <c r="Q48" s="23" t="n"/>
      <c r="R48" s="23" t="n"/>
      <c r="S48" s="23" t="n"/>
      <c r="T48" s="23" t="n"/>
      <c r="U48" s="23" t="n"/>
      <c r="V48" s="23" t="n"/>
      <c r="W48" s="23" t="n"/>
      <c r="X48" s="23" t="n"/>
      <c r="Y48" s="23" t="n"/>
      <c r="Z48" s="23" t="n"/>
    </row>
    <row r="49" ht="15.75" customHeight="1" s="86">
      <c r="A49" s="75" t="inlineStr">
        <is>
          <t>Dependent 2 First Name</t>
        </is>
      </c>
      <c r="B49" s="73" t="inlineStr">
        <is>
          <t>M</t>
        </is>
      </c>
      <c r="C49" s="74" t="n"/>
      <c r="D49" s="74" t="n"/>
      <c r="E49" s="74" t="inlineStr">
        <is>
          <t>Should be mandatory during registration and e-app</t>
        </is>
      </c>
      <c r="F49" s="73" t="n">
        <v>1</v>
      </c>
      <c r="G49" s="73" t="n">
        <v>35</v>
      </c>
      <c r="H49" s="76" t="inlineStr">
        <is>
          <t>Please enter your First Name upto 35 characters</t>
        </is>
      </c>
      <c r="I49" s="23" t="n"/>
      <c r="J49" s="23" t="n"/>
      <c r="K49" s="23" t="n"/>
      <c r="L49" s="23" t="n"/>
      <c r="M49" s="23" t="n"/>
      <c r="N49" s="23" t="n"/>
      <c r="O49" s="23" t="n"/>
      <c r="P49" s="23" t="n"/>
      <c r="Q49" s="23" t="n"/>
      <c r="R49" s="23" t="n"/>
      <c r="S49" s="23" t="n"/>
      <c r="T49" s="23" t="n"/>
      <c r="U49" s="23" t="n"/>
      <c r="V49" s="23" t="n"/>
      <c r="W49" s="23" t="n"/>
      <c r="X49" s="23" t="n"/>
      <c r="Y49" s="23" t="n"/>
      <c r="Z49" s="23" t="n"/>
    </row>
    <row r="50" ht="15.75" customHeight="1" s="86">
      <c r="A50" s="77" t="inlineStr">
        <is>
          <t>Dependent 2 Middle Initial</t>
        </is>
      </c>
      <c r="B50" s="73" t="inlineStr">
        <is>
          <t>O</t>
        </is>
      </c>
      <c r="C50" s="74" t="inlineStr">
        <is>
          <t>Text box</t>
        </is>
      </c>
      <c r="D50" s="74" t="inlineStr">
        <is>
          <t>Should be a single charecter in capital letters. Eg. M</t>
        </is>
      </c>
      <c r="E50" s="74" t="inlineStr">
        <is>
          <t>Should be non-mandatory at all places</t>
        </is>
      </c>
      <c r="F50" s="73" t="n">
        <v>1</v>
      </c>
      <c r="G50" s="73" t="n">
        <v>1</v>
      </c>
      <c r="H50" s="78" t="n"/>
      <c r="I50" s="23" t="n"/>
      <c r="J50" s="23" t="n"/>
      <c r="K50" s="23" t="n"/>
      <c r="L50" s="23" t="n"/>
      <c r="M50" s="23" t="n"/>
      <c r="N50" s="23" t="n"/>
      <c r="O50" s="23" t="n"/>
      <c r="P50" s="23" t="n"/>
      <c r="Q50" s="23" t="n"/>
      <c r="R50" s="23" t="n"/>
      <c r="S50" s="23" t="n"/>
      <c r="T50" s="23" t="n"/>
      <c r="U50" s="23" t="n"/>
      <c r="V50" s="23" t="n"/>
      <c r="W50" s="23" t="n"/>
      <c r="X50" s="23" t="n"/>
      <c r="Y50" s="23" t="n"/>
      <c r="Z50" s="23" t="n"/>
    </row>
    <row r="51" ht="15.75" customHeight="1" s="86">
      <c r="A51" s="75" t="inlineStr">
        <is>
          <t>Dependent 2 Last Name</t>
        </is>
      </c>
      <c r="B51" s="73" t="inlineStr">
        <is>
          <t>M</t>
        </is>
      </c>
      <c r="C51" s="74" t="inlineStr">
        <is>
          <t>Text box</t>
        </is>
      </c>
      <c r="D51" s="74" t="inlineStr">
        <is>
          <t>Free text including special characters</t>
        </is>
      </c>
      <c r="E51" s="74" t="inlineStr">
        <is>
          <t>Should be mandatory during registration and e-app</t>
        </is>
      </c>
      <c r="F51" s="73" t="n">
        <v>1</v>
      </c>
      <c r="G51" s="73" t="n">
        <v>60</v>
      </c>
      <c r="H51" s="76" t="inlineStr">
        <is>
          <t>Please enter your Last Name upto 60 characters</t>
        </is>
      </c>
      <c r="I51" s="23" t="n"/>
      <c r="J51" s="23" t="n"/>
      <c r="K51" s="23" t="n"/>
      <c r="L51" s="23" t="n"/>
      <c r="M51" s="23" t="n"/>
      <c r="N51" s="23" t="n"/>
      <c r="O51" s="23" t="n"/>
      <c r="P51" s="23" t="n"/>
      <c r="Q51" s="23" t="n"/>
      <c r="R51" s="23" t="n"/>
      <c r="S51" s="23" t="n"/>
      <c r="T51" s="23" t="n"/>
      <c r="U51" s="23" t="n"/>
      <c r="V51" s="23" t="n"/>
      <c r="W51" s="23" t="n"/>
      <c r="X51" s="23" t="n"/>
      <c r="Y51" s="23" t="n"/>
      <c r="Z51" s="23" t="n"/>
    </row>
    <row r="52" ht="15.75" customHeight="1" s="86">
      <c r="A52" s="77" t="inlineStr">
        <is>
          <t>Dependent 2 Suffix</t>
        </is>
      </c>
      <c r="B52" s="73" t="inlineStr">
        <is>
          <t>O</t>
        </is>
      </c>
      <c r="C52" s="74" t="inlineStr">
        <is>
          <t>Drop down</t>
        </is>
      </c>
      <c r="D52" s="74" t="inlineStr">
        <is>
          <t>Jr., Sr., I, II, III</t>
        </is>
      </c>
      <c r="E52" s="74" t="n"/>
      <c r="F52" s="73" t="inlineStr">
        <is>
          <t>NA</t>
        </is>
      </c>
      <c r="G52" s="73" t="inlineStr">
        <is>
          <t>NA</t>
        </is>
      </c>
      <c r="H52" s="78" t="n"/>
      <c r="I52" s="23" t="n"/>
      <c r="J52" s="23" t="n"/>
      <c r="K52" s="23" t="n"/>
      <c r="L52" s="23" t="n"/>
      <c r="M52" s="23" t="n"/>
      <c r="N52" s="23" t="n"/>
      <c r="O52" s="23" t="n"/>
      <c r="P52" s="23" t="n"/>
      <c r="Q52" s="23" t="n"/>
      <c r="R52" s="23" t="n"/>
      <c r="S52" s="23" t="n"/>
      <c r="T52" s="23" t="n"/>
      <c r="U52" s="23" t="n"/>
      <c r="V52" s="23" t="n"/>
      <c r="W52" s="23" t="n"/>
      <c r="X52" s="23" t="n"/>
      <c r="Y52" s="23" t="n"/>
      <c r="Z52" s="23" t="n"/>
    </row>
    <row r="53" ht="15.75" customHeight="1" s="86">
      <c r="A53" s="75" t="inlineStr">
        <is>
          <t>Dependent 2 DOB</t>
        </is>
      </c>
      <c r="B53" s="73" t="inlineStr">
        <is>
          <t>M</t>
        </is>
      </c>
      <c r="C53" s="74" t="inlineStr">
        <is>
          <t>Calender</t>
        </is>
      </c>
      <c r="D53" s="74" t="inlineStr">
        <is>
          <t>Upto 120 years of age (MM-DD-YYYY)</t>
        </is>
      </c>
      <c r="E53" s="74" t="n"/>
      <c r="F53" s="73" t="inlineStr">
        <is>
          <t>NA</t>
        </is>
      </c>
      <c r="G53" s="73" t="inlineStr">
        <is>
          <t>NA</t>
        </is>
      </c>
      <c r="H53" s="76" t="inlineStr">
        <is>
          <t>Please enter a valid Date of Birth</t>
        </is>
      </c>
      <c r="I53" s="23" t="n"/>
      <c r="J53" s="23" t="n"/>
      <c r="K53" s="23" t="n"/>
      <c r="L53" s="23" t="n"/>
      <c r="M53" s="23" t="n"/>
      <c r="N53" s="23" t="n"/>
      <c r="O53" s="23" t="n"/>
      <c r="P53" s="23" t="n"/>
      <c r="Q53" s="23" t="n"/>
      <c r="R53" s="23" t="n"/>
      <c r="S53" s="23" t="n"/>
      <c r="T53" s="23" t="n"/>
      <c r="U53" s="23" t="n"/>
      <c r="V53" s="23" t="n"/>
      <c r="W53" s="23" t="n"/>
      <c r="X53" s="23" t="n"/>
      <c r="Y53" s="23" t="n"/>
      <c r="Z53" s="23" t="n"/>
    </row>
    <row r="54" ht="15.75" customHeight="1" s="86">
      <c r="A54" s="75" t="inlineStr">
        <is>
          <t>Dependent 2 Gender</t>
        </is>
      </c>
      <c r="B54" s="73" t="inlineStr">
        <is>
          <t>M</t>
        </is>
      </c>
      <c r="C54" s="74" t="inlineStr">
        <is>
          <t>Radio button</t>
        </is>
      </c>
      <c r="D54" s="74" t="inlineStr">
        <is>
          <t>M/ F</t>
        </is>
      </c>
      <c r="E54" s="74" t="n"/>
      <c r="F54" s="73" t="n">
        <v>1</v>
      </c>
      <c r="G54" s="73" t="n">
        <v>10</v>
      </c>
      <c r="H54" s="76" t="inlineStr">
        <is>
          <t>Please select a Gender</t>
        </is>
      </c>
      <c r="I54" s="23" t="n"/>
      <c r="J54" s="23" t="n"/>
      <c r="K54" s="23" t="n"/>
      <c r="L54" s="23" t="n"/>
      <c r="M54" s="23" t="n"/>
      <c r="N54" s="23" t="n"/>
      <c r="O54" s="23" t="n"/>
      <c r="P54" s="23" t="n"/>
      <c r="Q54" s="23" t="n"/>
      <c r="R54" s="23" t="n"/>
      <c r="S54" s="23" t="n"/>
      <c r="T54" s="23" t="n"/>
      <c r="U54" s="23" t="n"/>
      <c r="V54" s="23" t="n"/>
      <c r="W54" s="23" t="n"/>
      <c r="X54" s="23" t="n"/>
      <c r="Y54" s="23" t="n"/>
      <c r="Z54" s="23" t="n"/>
    </row>
    <row r="55" ht="15.75" customHeight="1" s="86">
      <c r="A55" s="75" t="inlineStr">
        <is>
          <t>Dependent 2 tobacco_usage in last 12 months (Y/N)</t>
        </is>
      </c>
      <c r="B55" s="73" t="inlineStr">
        <is>
          <t>M</t>
        </is>
      </c>
      <c r="C55" s="74" t="inlineStr">
        <is>
          <t>Radio button</t>
        </is>
      </c>
      <c r="D55" s="74" t="inlineStr">
        <is>
          <t>Yes/ No</t>
        </is>
      </c>
      <c r="E55" s="74" t="n"/>
      <c r="F55" s="73" t="n">
        <v>1</v>
      </c>
      <c r="G55" s="73" t="n">
        <v>5</v>
      </c>
      <c r="H55" s="76" t="inlineStr">
        <is>
          <t>Please Select a valid Option</t>
        </is>
      </c>
      <c r="I55" s="23" t="n"/>
      <c r="J55" s="23" t="n"/>
      <c r="K55" s="23" t="n"/>
      <c r="L55" s="23" t="n"/>
      <c r="M55" s="23" t="n"/>
      <c r="N55" s="23" t="n"/>
      <c r="O55" s="23" t="n"/>
      <c r="P55" s="23" t="n"/>
      <c r="Q55" s="23" t="n"/>
      <c r="R55" s="23" t="n"/>
      <c r="S55" s="23" t="n"/>
      <c r="T55" s="23" t="n"/>
      <c r="U55" s="23" t="n"/>
      <c r="V55" s="23" t="n"/>
      <c r="W55" s="23" t="n"/>
      <c r="X55" s="23" t="n"/>
      <c r="Y55" s="23" t="n"/>
      <c r="Z55" s="23" t="n"/>
    </row>
    <row r="56" ht="15.75" customHeight="1" s="86">
      <c r="A56" s="75" t="inlineStr">
        <is>
          <t>Dependent 2 Relationship</t>
        </is>
      </c>
      <c r="B56" s="78" t="inlineStr">
        <is>
          <t>M</t>
        </is>
      </c>
      <c r="C56" s="74" t="inlineStr">
        <is>
          <t>Drop down</t>
        </is>
      </c>
      <c r="D56" s="74" t="inlineStr">
        <is>
          <t>Spouse
Child
Domestic Partner 
Other dependent</t>
        </is>
      </c>
      <c r="E56" s="78" t="n"/>
      <c r="F56" s="78" t="n"/>
      <c r="G56" s="78" t="n"/>
      <c r="H56" s="76" t="inlineStr">
        <is>
          <t>Please Select a valid Option</t>
        </is>
      </c>
      <c r="I56" s="23" t="n"/>
      <c r="J56" s="23" t="n"/>
      <c r="K56" s="23" t="n"/>
      <c r="L56" s="23" t="n"/>
      <c r="M56" s="23" t="n"/>
      <c r="N56" s="23" t="n"/>
      <c r="O56" s="23" t="n"/>
      <c r="P56" s="23" t="n"/>
      <c r="Q56" s="23" t="n"/>
      <c r="R56" s="23" t="n"/>
      <c r="S56" s="23" t="n"/>
      <c r="T56" s="23" t="n"/>
      <c r="U56" s="23" t="n"/>
      <c r="V56" s="23" t="n"/>
      <c r="W56" s="23" t="n"/>
      <c r="X56" s="23" t="n"/>
      <c r="Y56" s="23" t="n"/>
      <c r="Z56" s="23" t="n"/>
    </row>
    <row r="57" ht="15.75" customHeight="1" s="86">
      <c r="A57" s="75" t="inlineStr">
        <is>
          <t>Dependent 2 isDisabled (Y/N)</t>
        </is>
      </c>
      <c r="B57" s="78" t="inlineStr">
        <is>
          <t>M</t>
        </is>
      </c>
      <c r="C57" s="78" t="n"/>
      <c r="D57" s="74" t="inlineStr">
        <is>
          <t>Yes/ No</t>
        </is>
      </c>
      <c r="E57" s="78" t="n"/>
      <c r="F57" s="78" t="n"/>
      <c r="G57" s="78" t="n"/>
      <c r="H57" s="76" t="inlineStr">
        <is>
          <t>Please Select a valid Option</t>
        </is>
      </c>
      <c r="I57" s="23" t="n"/>
      <c r="J57" s="23" t="n"/>
      <c r="K57" s="23" t="n"/>
      <c r="L57" s="23" t="n"/>
      <c r="M57" s="23" t="n"/>
      <c r="N57" s="23" t="n"/>
      <c r="O57" s="23" t="n"/>
      <c r="P57" s="23" t="n"/>
      <c r="Q57" s="23" t="n"/>
      <c r="R57" s="23" t="n"/>
      <c r="S57" s="23" t="n"/>
      <c r="T57" s="23" t="n"/>
      <c r="U57" s="23" t="n"/>
      <c r="V57" s="23" t="n"/>
      <c r="W57" s="23" t="n"/>
      <c r="X57" s="23" t="n"/>
      <c r="Y57" s="23" t="n"/>
      <c r="Z57" s="23" t="n"/>
    </row>
    <row r="58" ht="15.75" customHeight="1" s="86">
      <c r="A58" s="75" t="inlineStr">
        <is>
          <t>Dependent 2 IsMarried(Y/N)</t>
        </is>
      </c>
      <c r="B58" s="78" t="inlineStr">
        <is>
          <t>M</t>
        </is>
      </c>
      <c r="C58" s="78" t="n"/>
      <c r="D58" s="74" t="inlineStr">
        <is>
          <t>Yes/ No</t>
        </is>
      </c>
      <c r="E58" s="78" t="n"/>
      <c r="F58" s="78" t="n"/>
      <c r="G58" s="78" t="n"/>
      <c r="H58" s="76" t="inlineStr">
        <is>
          <t>Please Select a valid Option</t>
        </is>
      </c>
      <c r="I58" s="23" t="n"/>
      <c r="J58" s="23" t="n"/>
      <c r="K58" s="23" t="n"/>
      <c r="L58" s="23" t="n"/>
      <c r="M58" s="23" t="n"/>
      <c r="N58" s="23" t="n"/>
      <c r="O58" s="23" t="n"/>
      <c r="P58" s="23" t="n"/>
      <c r="Q58" s="23" t="n"/>
      <c r="R58" s="23" t="n"/>
      <c r="S58" s="23" t="n"/>
      <c r="T58" s="23" t="n"/>
      <c r="U58" s="23" t="n"/>
      <c r="V58" s="23" t="n"/>
      <c r="W58" s="23" t="n"/>
      <c r="X58" s="23" t="n"/>
      <c r="Y58" s="23" t="n"/>
      <c r="Z58" s="23" t="n"/>
    </row>
    <row r="59" ht="15.75" customHeight="1" s="86">
      <c r="A59" s="77" t="inlineStr">
        <is>
          <t>Dependent 3 Prefix</t>
        </is>
      </c>
      <c r="B59" s="73" t="inlineStr">
        <is>
          <t>O</t>
        </is>
      </c>
      <c r="C59" s="74" t="inlineStr">
        <is>
          <t>Drop down</t>
        </is>
      </c>
      <c r="D59" s="74" t="inlineStr">
        <is>
          <t>Mr., Miss, Mrs., Ms., Dr.</t>
        </is>
      </c>
      <c r="E59" s="74" t="n"/>
      <c r="F59" s="73" t="inlineStr">
        <is>
          <t>NA</t>
        </is>
      </c>
      <c r="G59" s="73" t="inlineStr">
        <is>
          <t>NA</t>
        </is>
      </c>
      <c r="H59" s="74" t="n"/>
      <c r="I59" s="23" t="n"/>
      <c r="J59" s="23" t="n"/>
      <c r="K59" s="23" t="n"/>
      <c r="L59" s="23" t="n"/>
      <c r="M59" s="23" t="n"/>
      <c r="N59" s="23" t="n"/>
      <c r="O59" s="23" t="n"/>
      <c r="P59" s="23" t="n"/>
      <c r="Q59" s="23" t="n"/>
      <c r="R59" s="23" t="n"/>
      <c r="S59" s="23" t="n"/>
      <c r="T59" s="23" t="n"/>
      <c r="U59" s="23" t="n"/>
      <c r="V59" s="23" t="n"/>
      <c r="W59" s="23" t="n"/>
      <c r="X59" s="23" t="n"/>
      <c r="Y59" s="23" t="n"/>
      <c r="Z59" s="23" t="n"/>
    </row>
    <row r="60" ht="15.75" customHeight="1" s="86">
      <c r="A60" s="75" t="inlineStr">
        <is>
          <t>Dependent 3 First Name</t>
        </is>
      </c>
      <c r="B60" s="73" t="inlineStr">
        <is>
          <t>M</t>
        </is>
      </c>
      <c r="C60" s="74" t="n"/>
      <c r="D60" s="74" t="n"/>
      <c r="E60" s="74" t="inlineStr">
        <is>
          <t>Should be mandatory during registration and e-app</t>
        </is>
      </c>
      <c r="F60" s="73" t="n">
        <v>1</v>
      </c>
      <c r="G60" s="73" t="n">
        <v>35</v>
      </c>
      <c r="H60" s="76" t="inlineStr">
        <is>
          <t>Please enter your First Name upto 35 characters</t>
        </is>
      </c>
      <c r="I60" s="23" t="n"/>
      <c r="J60" s="23" t="n"/>
      <c r="K60" s="23" t="n"/>
      <c r="L60" s="23" t="n"/>
      <c r="M60" s="23" t="n"/>
      <c r="N60" s="23" t="n"/>
      <c r="O60" s="23" t="n"/>
      <c r="P60" s="23" t="n"/>
      <c r="Q60" s="23" t="n"/>
      <c r="R60" s="23" t="n"/>
      <c r="S60" s="23" t="n"/>
      <c r="T60" s="23" t="n"/>
      <c r="U60" s="23" t="n"/>
      <c r="V60" s="23" t="n"/>
      <c r="W60" s="23" t="n"/>
      <c r="X60" s="23" t="n"/>
      <c r="Y60" s="23" t="n"/>
      <c r="Z60" s="23" t="n"/>
    </row>
    <row r="61" ht="15.75" customHeight="1" s="86">
      <c r="A61" s="77" t="inlineStr">
        <is>
          <t>Dependent 3 Middle Initial</t>
        </is>
      </c>
      <c r="B61" s="73" t="inlineStr">
        <is>
          <t>O</t>
        </is>
      </c>
      <c r="C61" s="74" t="inlineStr">
        <is>
          <t>Text box</t>
        </is>
      </c>
      <c r="D61" s="74" t="inlineStr">
        <is>
          <t>Should be a single charecter in capital letters. Eg. M</t>
        </is>
      </c>
      <c r="E61" s="74" t="inlineStr">
        <is>
          <t>Should be non-mandatory at all places</t>
        </is>
      </c>
      <c r="F61" s="73" t="n">
        <v>1</v>
      </c>
      <c r="G61" s="73" t="n">
        <v>1</v>
      </c>
      <c r="H61" s="78" t="n"/>
      <c r="I61" s="23" t="n"/>
      <c r="J61" s="23" t="n"/>
      <c r="K61" s="23" t="n"/>
      <c r="L61" s="23" t="n"/>
      <c r="M61" s="23" t="n"/>
      <c r="N61" s="23" t="n"/>
      <c r="O61" s="23" t="n"/>
      <c r="P61" s="23" t="n"/>
      <c r="Q61" s="23" t="n"/>
      <c r="R61" s="23" t="n"/>
      <c r="S61" s="23" t="n"/>
      <c r="T61" s="23" t="n"/>
      <c r="U61" s="23" t="n"/>
      <c r="V61" s="23" t="n"/>
      <c r="W61" s="23" t="n"/>
      <c r="X61" s="23" t="n"/>
      <c r="Y61" s="23" t="n"/>
      <c r="Z61" s="23" t="n"/>
    </row>
    <row r="62" ht="15.75" customHeight="1" s="86">
      <c r="A62" s="75" t="inlineStr">
        <is>
          <t>Dependent 3 Last Name</t>
        </is>
      </c>
      <c r="B62" s="73" t="inlineStr">
        <is>
          <t>M</t>
        </is>
      </c>
      <c r="C62" s="74" t="inlineStr">
        <is>
          <t>Text box</t>
        </is>
      </c>
      <c r="D62" s="74" t="inlineStr">
        <is>
          <t>Free text including special characters</t>
        </is>
      </c>
      <c r="E62" s="74" t="inlineStr">
        <is>
          <t>Should be mandatory during registration and e-app</t>
        </is>
      </c>
      <c r="F62" s="73" t="n">
        <v>1</v>
      </c>
      <c r="G62" s="73" t="n">
        <v>60</v>
      </c>
      <c r="H62" s="76" t="inlineStr">
        <is>
          <t>Please enter your Last Name upto 60 characters</t>
        </is>
      </c>
      <c r="I62" s="23" t="n"/>
      <c r="J62" s="23" t="n"/>
      <c r="K62" s="23" t="n"/>
      <c r="L62" s="23" t="n"/>
      <c r="M62" s="23" t="n"/>
      <c r="N62" s="23" t="n"/>
      <c r="O62" s="23" t="n"/>
      <c r="P62" s="23" t="n"/>
      <c r="Q62" s="23" t="n"/>
      <c r="R62" s="23" t="n"/>
      <c r="S62" s="23" t="n"/>
      <c r="T62" s="23" t="n"/>
      <c r="U62" s="23" t="n"/>
      <c r="V62" s="23" t="n"/>
      <c r="W62" s="23" t="n"/>
      <c r="X62" s="23" t="n"/>
      <c r="Y62" s="23" t="n"/>
      <c r="Z62" s="23" t="n"/>
    </row>
    <row r="63" ht="15.75" customHeight="1" s="86">
      <c r="A63" s="77" t="inlineStr">
        <is>
          <t>Dependent 3 Suffix</t>
        </is>
      </c>
      <c r="B63" s="73" t="inlineStr">
        <is>
          <t>O</t>
        </is>
      </c>
      <c r="C63" s="74" t="inlineStr">
        <is>
          <t>Drop down</t>
        </is>
      </c>
      <c r="D63" s="74" t="inlineStr">
        <is>
          <t>Jr., Sr., I, II, III</t>
        </is>
      </c>
      <c r="E63" s="74" t="n"/>
      <c r="F63" s="73" t="inlineStr">
        <is>
          <t>NA</t>
        </is>
      </c>
      <c r="G63" s="73" t="inlineStr">
        <is>
          <t>NA</t>
        </is>
      </c>
      <c r="H63" s="78" t="n"/>
      <c r="I63" s="23" t="n"/>
      <c r="J63" s="23" t="n"/>
      <c r="K63" s="23" t="n"/>
      <c r="L63" s="23" t="n"/>
      <c r="M63" s="23" t="n"/>
      <c r="N63" s="23" t="n"/>
      <c r="O63" s="23" t="n"/>
      <c r="P63" s="23" t="n"/>
      <c r="Q63" s="23" t="n"/>
      <c r="R63" s="23" t="n"/>
      <c r="S63" s="23" t="n"/>
      <c r="T63" s="23" t="n"/>
      <c r="U63" s="23" t="n"/>
      <c r="V63" s="23" t="n"/>
      <c r="W63" s="23" t="n"/>
      <c r="X63" s="23" t="n"/>
      <c r="Y63" s="23" t="n"/>
      <c r="Z63" s="23" t="n"/>
    </row>
    <row r="64" ht="15.75" customHeight="1" s="86">
      <c r="A64" s="75" t="inlineStr">
        <is>
          <t>Dependent 3 DOB</t>
        </is>
      </c>
      <c r="B64" s="73" t="inlineStr">
        <is>
          <t>M</t>
        </is>
      </c>
      <c r="C64" s="74" t="inlineStr">
        <is>
          <t>Calender</t>
        </is>
      </c>
      <c r="D64" s="74" t="inlineStr">
        <is>
          <t>Upto 120 years of age (MM-DD-YYYY)</t>
        </is>
      </c>
      <c r="E64" s="74" t="n"/>
      <c r="F64" s="73" t="inlineStr">
        <is>
          <t>NA</t>
        </is>
      </c>
      <c r="G64" s="73" t="inlineStr">
        <is>
          <t>NA</t>
        </is>
      </c>
      <c r="H64" s="76" t="inlineStr">
        <is>
          <t>Please enter a valid Date of Birth</t>
        </is>
      </c>
      <c r="I64" s="23" t="n"/>
      <c r="J64" s="23" t="n"/>
      <c r="K64" s="23" t="n"/>
      <c r="L64" s="23" t="n"/>
      <c r="M64" s="23" t="n"/>
      <c r="N64" s="23" t="n"/>
      <c r="O64" s="23" t="n"/>
      <c r="P64" s="23" t="n"/>
      <c r="Q64" s="23" t="n"/>
      <c r="R64" s="23" t="n"/>
      <c r="S64" s="23" t="n"/>
      <c r="T64" s="23" t="n"/>
      <c r="U64" s="23" t="n"/>
      <c r="V64" s="23" t="n"/>
      <c r="W64" s="23" t="n"/>
      <c r="X64" s="23" t="n"/>
      <c r="Y64" s="23" t="n"/>
      <c r="Z64" s="23" t="n"/>
    </row>
    <row r="65" ht="15.75" customHeight="1" s="86">
      <c r="A65" s="75" t="inlineStr">
        <is>
          <t>Dependent 3 Gender</t>
        </is>
      </c>
      <c r="B65" s="73" t="inlineStr">
        <is>
          <t>M</t>
        </is>
      </c>
      <c r="C65" s="74" t="inlineStr">
        <is>
          <t>Radio button</t>
        </is>
      </c>
      <c r="D65" s="74" t="inlineStr">
        <is>
          <t>M/ F</t>
        </is>
      </c>
      <c r="E65" s="74" t="n"/>
      <c r="F65" s="73" t="n">
        <v>1</v>
      </c>
      <c r="G65" s="73" t="n">
        <v>10</v>
      </c>
      <c r="H65" s="76" t="inlineStr">
        <is>
          <t>Please select a Gender</t>
        </is>
      </c>
      <c r="I65" s="23" t="n"/>
      <c r="J65" s="23" t="n"/>
      <c r="K65" s="23" t="n"/>
      <c r="L65" s="23" t="n"/>
      <c r="M65" s="23" t="n"/>
      <c r="N65" s="23" t="n"/>
      <c r="O65" s="23" t="n"/>
      <c r="P65" s="23" t="n"/>
      <c r="Q65" s="23" t="n"/>
      <c r="R65" s="23" t="n"/>
      <c r="S65" s="23" t="n"/>
      <c r="T65" s="23" t="n"/>
      <c r="U65" s="23" t="n"/>
      <c r="V65" s="23" t="n"/>
      <c r="W65" s="23" t="n"/>
      <c r="X65" s="23" t="n"/>
      <c r="Y65" s="23" t="n"/>
      <c r="Z65" s="23" t="n"/>
    </row>
    <row r="66" ht="15.75" customHeight="1" s="86">
      <c r="A66" s="75" t="inlineStr">
        <is>
          <t>Dependent 3 tobacco_usage in last 12 months (Y/N)</t>
        </is>
      </c>
      <c r="B66" s="73" t="inlineStr">
        <is>
          <t>M</t>
        </is>
      </c>
      <c r="C66" s="74" t="inlineStr">
        <is>
          <t>Radio button</t>
        </is>
      </c>
      <c r="D66" s="74" t="inlineStr">
        <is>
          <t>Yes/ No</t>
        </is>
      </c>
      <c r="E66" s="74" t="n"/>
      <c r="F66" s="73" t="n">
        <v>1</v>
      </c>
      <c r="G66" s="73" t="n">
        <v>5</v>
      </c>
      <c r="H66" s="76" t="inlineStr">
        <is>
          <t>Please Select a valid Option</t>
        </is>
      </c>
      <c r="I66" s="23" t="n"/>
      <c r="J66" s="23" t="n"/>
      <c r="K66" s="23" t="n"/>
      <c r="L66" s="23" t="n"/>
      <c r="M66" s="23" t="n"/>
      <c r="N66" s="23" t="n"/>
      <c r="O66" s="23" t="n"/>
      <c r="P66" s="23" t="n"/>
      <c r="Q66" s="23" t="n"/>
      <c r="R66" s="23" t="n"/>
      <c r="S66" s="23" t="n"/>
      <c r="T66" s="23" t="n"/>
      <c r="U66" s="23" t="n"/>
      <c r="V66" s="23" t="n"/>
      <c r="W66" s="23" t="n"/>
      <c r="X66" s="23" t="n"/>
      <c r="Y66" s="23" t="n"/>
      <c r="Z66" s="23" t="n"/>
    </row>
    <row r="67" ht="15.75" customHeight="1" s="86">
      <c r="A67" s="75" t="inlineStr">
        <is>
          <t>Dependent 3 Relationship</t>
        </is>
      </c>
      <c r="B67" s="78" t="inlineStr">
        <is>
          <t>M</t>
        </is>
      </c>
      <c r="C67" s="74" t="inlineStr">
        <is>
          <t>Drop down</t>
        </is>
      </c>
      <c r="D67" s="74" t="inlineStr">
        <is>
          <t>Spouse
Child
Domestic Partner 
Other dependent</t>
        </is>
      </c>
      <c r="E67" s="78" t="n"/>
      <c r="F67" s="78" t="n"/>
      <c r="G67" s="78" t="n"/>
      <c r="H67" s="76" t="inlineStr">
        <is>
          <t>Please Select a valid Option</t>
        </is>
      </c>
      <c r="I67" s="23" t="n"/>
      <c r="J67" s="23" t="n"/>
      <c r="K67" s="23" t="n"/>
      <c r="L67" s="23" t="n"/>
      <c r="M67" s="23" t="n"/>
      <c r="N67" s="23" t="n"/>
      <c r="O67" s="23" t="n"/>
      <c r="P67" s="23" t="n"/>
      <c r="Q67" s="23" t="n"/>
      <c r="R67" s="23" t="n"/>
      <c r="S67" s="23" t="n"/>
      <c r="T67" s="23" t="n"/>
      <c r="U67" s="23" t="n"/>
      <c r="V67" s="23" t="n"/>
      <c r="W67" s="23" t="n"/>
      <c r="X67" s="23" t="n"/>
      <c r="Y67" s="23" t="n"/>
      <c r="Z67" s="23" t="n"/>
    </row>
    <row r="68" ht="15.75" customHeight="1" s="86">
      <c r="A68" s="75" t="inlineStr">
        <is>
          <t>Dependent 3 isDisabled (Y/N)</t>
        </is>
      </c>
      <c r="B68" s="78" t="inlineStr">
        <is>
          <t>M</t>
        </is>
      </c>
      <c r="C68" s="78" t="n"/>
      <c r="D68" s="74" t="inlineStr">
        <is>
          <t>Yes/ No</t>
        </is>
      </c>
      <c r="E68" s="78" t="n"/>
      <c r="F68" s="78" t="n"/>
      <c r="G68" s="78" t="n"/>
      <c r="H68" s="76" t="inlineStr">
        <is>
          <t>Please Select a valid Option</t>
        </is>
      </c>
      <c r="I68" s="23" t="n"/>
      <c r="J68" s="23" t="n"/>
      <c r="K68" s="23" t="n"/>
      <c r="L68" s="23" t="n"/>
      <c r="M68" s="23" t="n"/>
      <c r="N68" s="23" t="n"/>
      <c r="O68" s="23" t="n"/>
      <c r="P68" s="23" t="n"/>
      <c r="Q68" s="23" t="n"/>
      <c r="R68" s="23" t="n"/>
      <c r="S68" s="23" t="n"/>
      <c r="T68" s="23" t="n"/>
      <c r="U68" s="23" t="n"/>
      <c r="V68" s="23" t="n"/>
      <c r="W68" s="23" t="n"/>
      <c r="X68" s="23" t="n"/>
      <c r="Y68" s="23" t="n"/>
      <c r="Z68" s="23" t="n"/>
    </row>
    <row r="69" ht="15.75" customHeight="1" s="86">
      <c r="A69" s="75" t="inlineStr">
        <is>
          <t>Dependent 3 IsMarried(Y/N)</t>
        </is>
      </c>
      <c r="B69" s="78" t="inlineStr">
        <is>
          <t>M</t>
        </is>
      </c>
      <c r="C69" s="78" t="n"/>
      <c r="D69" s="74" t="inlineStr">
        <is>
          <t>Yes/ No</t>
        </is>
      </c>
      <c r="E69" s="78" t="n"/>
      <c r="F69" s="78" t="n"/>
      <c r="G69" s="78" t="n"/>
      <c r="H69" s="76" t="inlineStr">
        <is>
          <t>Please Select a valid Option</t>
        </is>
      </c>
      <c r="I69" s="23" t="n"/>
      <c r="J69" s="23" t="n"/>
      <c r="K69" s="23" t="n"/>
      <c r="L69" s="23" t="n"/>
      <c r="M69" s="23" t="n"/>
      <c r="N69" s="23" t="n"/>
      <c r="O69" s="23" t="n"/>
      <c r="P69" s="23" t="n"/>
      <c r="Q69" s="23" t="n"/>
      <c r="R69" s="23" t="n"/>
      <c r="S69" s="23" t="n"/>
      <c r="T69" s="23" t="n"/>
      <c r="U69" s="23" t="n"/>
      <c r="V69" s="23" t="n"/>
      <c r="W69" s="23" t="n"/>
      <c r="X69" s="23" t="n"/>
      <c r="Y69" s="23" t="n"/>
      <c r="Z69" s="23" t="n"/>
    </row>
    <row r="70" ht="15.75" customHeight="1" s="86">
      <c r="A70" s="22"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36.75" customHeight="1" s="86">
      <c r="A71" s="85" t="inlineStr">
        <is>
          <t>Note: 1. User can add more than one custom fields/ delete those custom fields.
2. User can add more than one complete set of dependents/ delete those.</t>
        </is>
      </c>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5.75" customHeight="1" s="86">
      <c r="A72" s="22"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5.75" customHeight="1" s="86">
      <c r="A73" s="22"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5.75" customHeight="1" s="86">
      <c r="A74" s="22"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5.75" customHeight="1" s="86">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5.75" customHeight="1" s="86">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5.75" customHeight="1" s="86">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5.75" customHeight="1" s="86">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5.75" customHeight="1" s="86">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5.75" customHeight="1" s="86">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5.75" customHeight="1" s="86">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5.75" customHeight="1" s="86">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5.75" customHeight="1" s="86">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5.75" customHeight="1" s="86">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5.75" customHeight="1" s="86">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5.75" customHeight="1" s="86">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5.75" customHeight="1" s="86">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5.75" customHeight="1" s="86">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5.75" customHeight="1" s="86">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5.75" customHeight="1" s="86">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5.75" customHeight="1" s="86">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5.75" customHeight="1" s="86">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5.75" customHeight="1" s="86">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5.75" customHeight="1" s="86">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5.75" customHeight="1" s="86">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5.75" customHeight="1" s="86">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5.75" customHeight="1" s="86">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5.75" customHeight="1" s="86">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5.75" customHeight="1" s="86">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5.75" customHeight="1" s="86">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5.75" customHeight="1" s="86">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5.75" customHeight="1" s="86">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5.75" customHeight="1" s="86">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5.75" customHeight="1" s="86">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5.75" customHeight="1" s="86">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5.75" customHeight="1" s="86">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5.75" customHeight="1" s="86">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5.75" customHeight="1" s="86">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5.75" customHeight="1" s="86">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5.75" customHeight="1" s="86">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5.75" customHeight="1" s="86">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5.75" customHeight="1" s="86">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5.75" customHeight="1" s="86">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5.75" customHeight="1" s="86">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5.75" customHeight="1" s="86">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5.75" customHeight="1" s="86">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5.75" customHeight="1" s="86">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5.75" customHeight="1" s="86">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5.75" customHeight="1" s="86">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5.75" customHeight="1" s="86">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5.75" customHeight="1" s="86">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5.75" customHeight="1" s="86">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5.75" customHeight="1" s="86">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5.75" customHeight="1" s="86">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5.75" customHeight="1" s="86">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5.75" customHeight="1" s="86">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5.75" customHeight="1" s="86">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5.75" customHeight="1" s="86">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5.75" customHeight="1" s="86">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5.75" customHeight="1" s="86">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5.75" customHeight="1" s="86">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5.75" customHeight="1" s="86">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5.75" customHeight="1" s="86">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5.75" customHeight="1" s="86">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5.75" customHeight="1" s="86">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5.75" customHeight="1" s="86">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5.75" customHeight="1" s="86">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5.75" customHeight="1" s="86">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5.75" customHeight="1" s="86">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5.75" customHeight="1" s="86">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5.75" customHeight="1" s="86">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5.75" customHeight="1" s="86">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5.75" customHeight="1" s="86">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5.75" customHeight="1" s="86">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5.75" customHeight="1" s="86">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5.75" customHeight="1" s="86">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5.75" customHeight="1" s="86">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5.75" customHeight="1" s="86">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5.75" customHeight="1" s="86">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5.75" customHeight="1" s="86">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5.75" customHeight="1" s="86">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5.75" customHeight="1" s="86">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5.75" customHeight="1" s="86">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5.75" customHeight="1" s="86">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5.75" customHeight="1" s="86">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5.75" customHeight="1" s="86">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5.75" customHeight="1" s="86">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5.75" customHeight="1" s="86">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5.75" customHeight="1" s="86">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5.75" customHeight="1" s="86">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5.75" customHeight="1" s="86">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5.75" customHeight="1" s="86">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5.75" customHeight="1" s="86">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5.75" customHeight="1" s="86">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5.75" customHeight="1" s="86">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5.75" customHeight="1" s="86">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5.75" customHeight="1" s="86">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5.75" customHeight="1" s="86">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5.75" customHeight="1" s="86">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5.75" customHeight="1" s="86">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5.75" customHeight="1" s="86">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5.75" customHeight="1" s="86">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5.75" customHeight="1" s="86">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5.75" customHeight="1" s="86">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5.75" customHeight="1" s="86">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5.75" customHeight="1" s="86">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5.75" customHeight="1" s="86">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5.75" customHeight="1" s="86">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5.75" customHeight="1" s="86">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5.75" customHeight="1" s="86">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5.75" customHeight="1" s="86">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5.75" customHeight="1" s="86">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5.75" customHeight="1" s="86">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5.75" customHeight="1" s="86">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5.75" customHeight="1" s="86">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5.75" customHeight="1" s="86">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5.75" customHeight="1" s="86">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5.75" customHeight="1" s="86">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5.75" customHeight="1" s="86">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5.75" customHeight="1" s="86">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5.75" customHeight="1" s="86">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5.75" customHeight="1" s="86">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5.75" customHeight="1" s="86">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5.75" customHeight="1" s="86">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5.75" customHeight="1" s="86">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5.75" customHeight="1" s="86">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5.75" customHeight="1" s="86">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5.75" customHeight="1" s="86">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5.75" customHeight="1" s="86">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5.75" customHeight="1" s="86">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5.75" customHeight="1" s="86">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5.75" customHeight="1" s="86">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5.75" customHeight="1" s="86">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5.75" customHeight="1" s="86">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5.75" customHeight="1" s="86">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5.75" customHeight="1" s="86">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5.75" customHeight="1" s="86">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5.75" customHeight="1" s="86">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5.75" customHeight="1" s="86">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5.75" customHeight="1" s="86">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5.75" customHeight="1" s="86">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5.75" customHeight="1" s="86">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5.75" customHeight="1" s="86">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5.75" customHeight="1" s="86">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5.75" customHeight="1" s="86">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5.75" customHeight="1" s="86">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5.75" customHeight="1" s="86">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5.75" customHeight="1" s="86">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5.75" customHeight="1" s="86">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5.75" customHeight="1" s="86">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5.75" customHeight="1" s="86">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5.75" customHeight="1" s="86">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5.75" customHeight="1" s="86">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5.75" customHeight="1" s="86">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5.75" customHeight="1" s="86">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5.75" customHeight="1" s="86">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5.75" customHeight="1" s="86">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5.75" customHeight="1" s="86">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5.75" customHeight="1" s="86">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5.75" customHeight="1" s="86">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5.75" customHeight="1" s="86">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5.75" customHeight="1" s="86">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5.75" customHeight="1" s="86">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5.75" customHeight="1" s="86">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5.75" customHeight="1" s="86">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5.75" customHeight="1" s="86">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5.75" customHeight="1" s="86">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5.75" customHeight="1" s="86">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5.75" customHeight="1" s="86">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5.75" customHeight="1" s="86">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5.75" customHeight="1" s="86">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5.75" customHeight="1" s="86">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5.75" customHeight="1" s="86">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5.75" customHeight="1" s="86">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5.75" customHeight="1" s="86">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5.75" customHeight="1" s="86">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5.75" customHeight="1" s="86">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5.75" customHeight="1" s="86">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5.75" customHeight="1" s="86">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5.75" customHeight="1" s="86">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5.75" customHeight="1" s="86">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5.75" customHeight="1" s="86">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5.75" customHeight="1" s="86">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5.75" customHeight="1" s="86">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5.75" customHeight="1" s="86">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5.75" customHeight="1" s="86">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5.75" customHeight="1" s="86">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5.75" customHeight="1" s="86">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5.75" customHeight="1" s="86">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5.75" customHeight="1" s="86">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5.75" customHeight="1" s="86">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5.75" customHeight="1" s="86">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5.75" customHeight="1" s="86">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5.75" customHeight="1" s="86">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5.75" customHeight="1" s="86">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5.75" customHeight="1" s="86">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5.75" customHeight="1" s="86">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5.75" customHeight="1" s="86">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5.75" customHeight="1" s="86">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5.75" customHeight="1" s="86">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5.75" customHeight="1" s="86">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5.75" customHeight="1" s="86">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5.75" customHeight="1" s="86">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5.75" customHeight="1" s="86">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5.75" customHeight="1" s="86">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5.75" customHeight="1" s="86">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5.75" customHeight="1" s="86">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5.75" customHeight="1" s="86">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5.75" customHeight="1" s="86">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5.75" customHeight="1" s="86">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5.75" customHeight="1" s="86">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5.75" customHeight="1" s="86">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5.75" customHeight="1" s="86">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5.75" customHeight="1" s="86">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5.75" customHeight="1" s="86">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5.75" customHeight="1" s="86">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5.75" customHeight="1" s="86">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5.75" customHeight="1" s="86">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5.75" customHeight="1" s="86">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5.75" customHeight="1" s="86">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5.75" customHeight="1" s="86">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5.75" customHeight="1" s="86">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5.75" customHeight="1" s="86">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5.75" customHeight="1" s="86">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5.75" customHeight="1" s="86">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5.75" customHeight="1" s="86">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5.75" customHeight="1" s="86">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5.75" customHeight="1" s="86">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5.75" customHeight="1" s="86">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5.75" customHeight="1" s="86">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5.75" customHeight="1" s="86">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5.75" customHeight="1" s="86">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5.75" customHeight="1" s="86">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5.75" customHeight="1" s="86">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5.75" customHeight="1" s="86">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5.75" customHeight="1" s="86">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5.75" customHeight="1" s="86">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5.75" customHeight="1" s="86">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5.75" customHeight="1" s="86">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5.75" customHeight="1" s="86">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5.75" customHeight="1" s="86">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5.75" customHeight="1" s="86">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5.75" customHeight="1" s="86">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5.75" customHeight="1" s="86">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5.75" customHeight="1" s="86">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5.75" customHeight="1" s="86">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5.75" customHeight="1" s="86">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5.75" customHeight="1" s="86">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5.75" customHeight="1" s="86">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5.75" customHeight="1" s="86">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5.75" customHeight="1" s="86">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5.75" customHeight="1" s="86">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5.75" customHeight="1" s="86">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5.75" customHeight="1" s="86">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5.75" customHeight="1" s="86">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5.75" customHeight="1" s="86">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5.75" customHeight="1" s="86">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5.75" customHeight="1" s="86">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5.75" customHeight="1" s="86">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5.75" customHeight="1" s="86">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5.75" customHeight="1" s="86">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5.75" customHeight="1" s="86">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5.75" customHeight="1" s="86">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5.75" customHeight="1" s="86">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5.75" customHeight="1" s="86">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5.75" customHeight="1" s="86">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5.75" customHeight="1" s="86">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5.75" customHeight="1" s="86">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5.75" customHeight="1" s="86">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5.75" customHeight="1" s="86">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5.75" customHeight="1" s="86">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5.75" customHeight="1" s="86">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5.75" customHeight="1" s="86">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5.75" customHeight="1" s="86">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5.75" customHeight="1" s="86">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5.75" customHeight="1" s="86">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5.75" customHeight="1" s="86">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5.75" customHeight="1" s="86">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5.75" customHeight="1" s="86">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5.75" customHeight="1" s="86">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5.75" customHeight="1" s="86">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5.75" customHeight="1" s="86">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5.75" customHeight="1" s="86">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5.75" customHeight="1" s="86">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5.75" customHeight="1" s="86">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5.75" customHeight="1" s="86">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5.75" customHeight="1" s="86">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5.75" customHeight="1" s="86">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5.75" customHeight="1" s="86">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5.75" customHeight="1" s="86">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5.75" customHeight="1" s="86">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5.75" customHeight="1" s="86">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5.75" customHeight="1" s="86">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5.75" customHeight="1" s="86">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5.75" customHeight="1" s="86">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5.75" customHeight="1" s="86">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5.75" customHeight="1" s="86">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5.75" customHeight="1" s="86">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5.75" customHeight="1" s="86">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5.75" customHeight="1" s="86">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5.75" customHeight="1" s="86">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5.75" customHeight="1" s="86">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5.75" customHeight="1" s="86">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5.75" customHeight="1" s="86">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5.75" customHeight="1" s="86">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5.75" customHeight="1" s="86">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5.75" customHeight="1" s="86">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5.75" customHeight="1" s="86">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5.75" customHeight="1" s="86">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5.75" customHeight="1" s="86">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5.75" customHeight="1" s="86">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5.75" customHeight="1" s="86">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5.75" customHeight="1" s="86">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5.75" customHeight="1" s="86">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5.75" customHeight="1" s="86">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5.75" customHeight="1" s="86">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5.75" customHeight="1" s="86">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5.75" customHeight="1" s="86">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5.75" customHeight="1" s="86">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5.75" customHeight="1" s="86">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5.75" customHeight="1" s="86">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5.75" customHeight="1" s="86">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5.75" customHeight="1" s="86">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5.75" customHeight="1" s="86">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5.75" customHeight="1" s="86">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5.75" customHeight="1" s="86">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5.75" customHeight="1" s="86">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5.75" customHeight="1" s="86">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5.75" customHeight="1" s="86">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5.75" customHeight="1" s="86">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5.75" customHeight="1" s="86">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5.75" customHeight="1" s="86">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5.75" customHeight="1" s="86">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5.75" customHeight="1" s="86">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5.75" customHeight="1" s="86">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5.75" customHeight="1" s="86">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5.75" customHeight="1" s="86">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5.75" customHeight="1" s="86">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5.75" customHeight="1" s="86">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5.75" customHeight="1" s="86">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5.75" customHeight="1" s="86">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5.75" customHeight="1" s="86">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5.75" customHeight="1" s="86">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5.75" customHeight="1" s="86">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5.75" customHeight="1" s="86">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5.75" customHeight="1" s="86">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5.75" customHeight="1" s="86">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5.75" customHeight="1" s="86">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5.75" customHeight="1" s="86">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5.75" customHeight="1" s="86">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5.75" customHeight="1" s="86">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5.75" customHeight="1" s="86">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5.75" customHeight="1" s="86">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5.75" customHeight="1" s="86">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5.75" customHeight="1" s="86">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5.75" customHeight="1" s="86">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5.75" customHeight="1" s="86">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5.75" customHeight="1" s="86">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5.75" customHeight="1" s="86">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5.75" customHeight="1" s="86">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5.75" customHeight="1" s="86">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5.75" customHeight="1" s="86">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5.75" customHeight="1" s="86">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5.75" customHeight="1" s="86">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5.75" customHeight="1" s="86">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5.75" customHeight="1" s="86">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5.75" customHeight="1" s="86">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5.75" customHeight="1" s="86">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5.75" customHeight="1" s="86">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5.75" customHeight="1" s="86">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5.75" customHeight="1" s="86">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5.75" customHeight="1" s="86">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5.75" customHeight="1" s="86">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5.75" customHeight="1" s="86">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5.75" customHeight="1" s="86">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5.75" customHeight="1" s="86">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5.75" customHeight="1" s="86">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5.75" customHeight="1" s="86">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5.75" customHeight="1" s="86">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5.75" customHeight="1" s="86">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5.75" customHeight="1" s="86">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5.75" customHeight="1" s="86">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5.75" customHeight="1" s="86">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5.75" customHeight="1" s="86">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5.75" customHeight="1" s="86">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5.75" customHeight="1" s="86">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5.75" customHeight="1" s="86">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5.75" customHeight="1" s="86">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5.75" customHeight="1" s="86">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5.75" customHeight="1" s="86">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5.75" customHeight="1" s="86">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5.75" customHeight="1" s="86">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5.75" customHeight="1" s="86">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5.75" customHeight="1" s="86">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5.75" customHeight="1" s="86">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5.75" customHeight="1" s="86">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5.75" customHeight="1" s="86">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5.75" customHeight="1" s="86">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5.75" customHeight="1" s="86">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5.75" customHeight="1" s="86">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5.75" customHeight="1" s="86">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5.75" customHeight="1" s="86">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5.75" customHeight="1" s="86">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5.75" customHeight="1" s="86">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5.75" customHeight="1" s="86">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5.75" customHeight="1" s="86">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5.75" customHeight="1" s="86">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5.75" customHeight="1" s="86">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5.75" customHeight="1" s="86">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5.75" customHeight="1" s="86">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5.75" customHeight="1" s="86">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5.75" customHeight="1" s="86">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5.75" customHeight="1" s="86">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5.75" customHeight="1" s="86">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5.75" customHeight="1" s="86">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5.75" customHeight="1" s="86">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5.75" customHeight="1" s="86">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5.75" customHeight="1" s="86">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5.75" customHeight="1" s="86">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5.75" customHeight="1" s="86">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5.75" customHeight="1" s="86">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5.75" customHeight="1" s="86">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5.75" customHeight="1" s="86">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5.75" customHeight="1" s="86">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5.75" customHeight="1" s="86">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5.75" customHeight="1" s="86">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5.75" customHeight="1" s="86">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5.75" customHeight="1" s="86">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5.75" customHeight="1" s="86">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5.75" customHeight="1" s="86">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5.75" customHeight="1" s="86">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5.75" customHeight="1" s="86">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5.75" customHeight="1" s="86">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5.75" customHeight="1" s="86">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5.75" customHeight="1" s="86">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5.75" customHeight="1" s="86">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5.75" customHeight="1" s="86">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5.75" customHeight="1" s="86">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5.75" customHeight="1" s="86">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5.75" customHeight="1" s="86">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5.75" customHeight="1" s="86">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5.75" customHeight="1" s="86">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5.75" customHeight="1" s="86">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5.75" customHeight="1" s="86">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5.75" customHeight="1" s="86">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5.75" customHeight="1" s="86">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5.75" customHeight="1" s="86">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5.75" customHeight="1" s="86">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5.75" customHeight="1" s="86">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5.75" customHeight="1" s="86">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5.75" customHeight="1" s="86">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5.75" customHeight="1" s="86">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5.75" customHeight="1" s="86">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5.75" customHeight="1" s="86">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5.75" customHeight="1" s="86">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5.75" customHeight="1" s="86">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5.75" customHeight="1" s="86">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5.75" customHeight="1" s="86">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5.75" customHeight="1" s="86">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5.75" customHeight="1" s="86">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5.75" customHeight="1" s="86">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5.75" customHeight="1" s="86">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5.75" customHeight="1" s="86">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5.75" customHeight="1" s="86">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5.75" customHeight="1" s="86">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5.75" customHeight="1" s="86">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5.75" customHeight="1" s="86">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5.75" customHeight="1" s="86">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5.75" customHeight="1" s="86">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5.75" customHeight="1" s="86">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5.75" customHeight="1" s="86">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5.75" customHeight="1" s="86">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5.75" customHeight="1" s="86">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5.75" customHeight="1" s="86">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5.75" customHeight="1" s="86">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5.75" customHeight="1" s="86">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5.75" customHeight="1" s="86">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5.75" customHeight="1" s="86">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5.75" customHeight="1" s="86">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5.75" customHeight="1" s="86">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5.75" customHeight="1" s="86">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5.75" customHeight="1" s="86">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5.75" customHeight="1" s="86">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5.75" customHeight="1" s="86">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5.75" customHeight="1" s="86">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5.75" customHeight="1" s="86">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5.75" customHeight="1" s="86">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5.75" customHeight="1" s="86">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5.75" customHeight="1" s="86">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5.75" customHeight="1" s="86">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5.75" customHeight="1" s="86">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5.75" customHeight="1" s="86">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5.75" customHeight="1" s="86">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5.75" customHeight="1" s="86">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5.75" customHeight="1" s="86">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5.75" customHeight="1" s="86">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5.75" customHeight="1" s="86">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5.75" customHeight="1" s="86">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5.75" customHeight="1" s="86">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5.75" customHeight="1" s="86">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5.75" customHeight="1" s="86">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5.75" customHeight="1" s="86">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5.75" customHeight="1" s="86">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5.75" customHeight="1" s="86">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5.75" customHeight="1" s="86">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5.75" customHeight="1" s="86">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5.75" customHeight="1" s="86">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5.75" customHeight="1" s="86">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5.75" customHeight="1" s="86">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5.75" customHeight="1" s="86">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5.75" customHeight="1" s="86">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5.75" customHeight="1" s="86">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5.75" customHeight="1" s="86">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5.75" customHeight="1" s="86">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5.75" customHeight="1" s="86">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5.75" customHeight="1" s="86">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5.75" customHeight="1" s="86">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5.75" customHeight="1" s="86">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5.75" customHeight="1" s="86">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5.75" customHeight="1" s="86">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5.75" customHeight="1" s="86">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5.75" customHeight="1" s="86">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5.75" customHeight="1" s="86">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5.75" customHeight="1" s="86">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5.75" customHeight="1" s="86">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5.75" customHeight="1" s="86">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5.75" customHeight="1" s="86">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5.75" customHeight="1" s="86">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5.75" customHeight="1" s="86">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5.75" customHeight="1" s="86">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5.75" customHeight="1" s="86">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5.75" customHeight="1" s="86">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5.75" customHeight="1" s="86">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5.75" customHeight="1" s="86">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5.75" customHeight="1" s="86">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5.75" customHeight="1" s="86">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5.75" customHeight="1" s="86">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5.75" customHeight="1" s="86">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5.75" customHeight="1" s="86">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5.75" customHeight="1" s="86">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5.75" customHeight="1" s="86">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5.75" customHeight="1" s="86">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5.75" customHeight="1" s="86">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5.75" customHeight="1" s="86">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5.75" customHeight="1" s="86">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5.75" customHeight="1" s="86">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5.75" customHeight="1" s="86">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5.75" customHeight="1" s="86">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5.75" customHeight="1" s="86">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5.75" customHeight="1" s="86">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5.75" customHeight="1" s="86">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5.75" customHeight="1" s="86">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5.75" customHeight="1" s="86">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5.75" customHeight="1" s="86">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5.75" customHeight="1" s="86">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5.75" customHeight="1" s="86">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5.75" customHeight="1" s="86">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5.75" customHeight="1" s="86">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5.75" customHeight="1" s="86">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5.75" customHeight="1" s="86">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5.75" customHeight="1" s="86">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5.75" customHeight="1" s="86">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5.75" customHeight="1" s="86">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5.75" customHeight="1" s="86">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5.75" customHeight="1" s="86">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5.75" customHeight="1" s="86">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5.75" customHeight="1" s="86">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5.75" customHeight="1" s="86">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5.75" customHeight="1" s="86">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5.75" customHeight="1" s="86">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5.75" customHeight="1" s="86">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5.75" customHeight="1" s="86">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5.75" customHeight="1" s="86">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5.75" customHeight="1" s="86">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5.75" customHeight="1" s="86">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5.75" customHeight="1" s="86">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5.75" customHeight="1" s="86">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5.75" customHeight="1" s="86">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5.75" customHeight="1" s="86">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5.75" customHeight="1" s="86">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5.75" customHeight="1" s="86">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5.75" customHeight="1" s="86">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5.75" customHeight="1" s="86">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5.75" customHeight="1" s="86">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5.75" customHeight="1" s="86">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5.75" customHeight="1" s="86">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5.75" customHeight="1" s="86">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5.75" customHeight="1" s="86">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5.75" customHeight="1" s="86">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5.75" customHeight="1" s="86">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5.75" customHeight="1" s="86">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5.75" customHeight="1" s="86">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5.75" customHeight="1" s="86">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5.75" customHeight="1" s="86">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5.75" customHeight="1" s="86">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5.75" customHeight="1" s="86">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5.75" customHeight="1" s="86">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5.75" customHeight="1" s="86">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5.75" customHeight="1" s="86">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5.75" customHeight="1" s="86">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5.75" customHeight="1" s="86">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5.75" customHeight="1" s="86">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5.75" customHeight="1" s="86">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5.75" customHeight="1" s="86">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5.75" customHeight="1" s="86">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5.75" customHeight="1" s="86">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5.75" customHeight="1" s="86">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5.75" customHeight="1" s="86">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5.75" customHeight="1" s="86">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5.75" customHeight="1" s="86">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5.75" customHeight="1" s="86">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5.75" customHeight="1" s="86">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5.75" customHeight="1" s="86">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5.75" customHeight="1" s="86">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5.75" customHeight="1" s="86">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5.75" customHeight="1" s="86">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5.75" customHeight="1" s="86">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5.75" customHeight="1" s="86">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5.75" customHeight="1" s="86">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5.75" customHeight="1" s="86">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5.75" customHeight="1" s="86">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5.75" customHeight="1" s="86">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5.75" customHeight="1" s="86">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5.75" customHeight="1" s="86">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5.75" customHeight="1" s="86">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5.75" customHeight="1" s="86">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5.75" customHeight="1" s="86">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5.75" customHeight="1" s="86">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5.75" customHeight="1" s="86">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5.75" customHeight="1" s="86">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5.75" customHeight="1" s="86">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5.75" customHeight="1" s="86">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5.75" customHeight="1" s="86">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5.75" customHeight="1" s="86">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5.75" customHeight="1" s="86">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5.75" customHeight="1" s="86">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5.75" customHeight="1" s="86">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5.75" customHeight="1" s="86">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5.75" customHeight="1" s="86">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5.75" customHeight="1" s="86">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5.75" customHeight="1" s="86">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5.75" customHeight="1" s="86">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5.75" customHeight="1" s="86">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5.75" customHeight="1" s="86">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5.75" customHeight="1" s="86">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5.75" customHeight="1" s="86">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5.75" customHeight="1" s="86">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5.75" customHeight="1" s="86">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5.75" customHeight="1" s="86">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5.75" customHeight="1" s="86">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5.75" customHeight="1" s="86">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5.75" customHeight="1" s="86">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5.75" customHeight="1" s="86">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5.75" customHeight="1" s="86">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5.75" customHeight="1" s="86">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5.75" customHeight="1" s="86">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5.75" customHeight="1" s="86">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5.75" customHeight="1" s="86">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5.75" customHeight="1" s="86">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5.75" customHeight="1" s="86">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5.75" customHeight="1" s="86">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5.75" customHeight="1" s="86">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5.75" customHeight="1" s="86">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5.75" customHeight="1" s="86">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5.75" customHeight="1" s="86">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5.75" customHeight="1" s="86">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5.75" customHeight="1" s="86">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5.75" customHeight="1" s="86">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5.75" customHeight="1" s="86">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5.75" customHeight="1" s="86">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5.75" customHeight="1" s="86">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5.75" customHeight="1" s="86">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5.75" customHeight="1" s="86">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5.75" customHeight="1" s="86">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5.75" customHeight="1" s="86">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5.75" customHeight="1" s="86">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5.75" customHeight="1" s="86">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5.75" customHeight="1" s="86">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5.75" customHeight="1" s="86">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5.75" customHeight="1" s="86">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5.75" customHeight="1" s="86">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5.75" customHeight="1" s="86">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5.75" customHeight="1" s="86">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5.75" customHeight="1" s="86">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5.75" customHeight="1" s="86">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5.75" customHeight="1" s="86">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5.75" customHeight="1" s="86">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5.75" customHeight="1" s="86">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5.75" customHeight="1" s="86">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5.75" customHeight="1" s="86">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5.75" customHeight="1" s="86">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5.75" customHeight="1" s="86">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5.75" customHeight="1" s="86">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5.75" customHeight="1" s="86">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5.75" customHeight="1" s="86">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5.75" customHeight="1" s="86">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5.75" customHeight="1" s="86">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5.75" customHeight="1" s="86">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5.75" customHeight="1" s="86">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5.75" customHeight="1" s="86">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5.75" customHeight="1" s="86">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5.75" customHeight="1" s="86">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5.75" customHeight="1" s="86">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5.75" customHeight="1" s="86">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5.75" customHeight="1" s="86">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5.75" customHeight="1" s="86">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5.75" customHeight="1" s="86">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5.75" customHeight="1" s="86">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5.75" customHeight="1" s="86">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5.75" customHeight="1" s="86">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5.75" customHeight="1" s="86">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5.75" customHeight="1" s="86">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5.75" customHeight="1" s="86">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5.75" customHeight="1" s="86">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5.75" customHeight="1" s="86">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5.75" customHeight="1" s="86">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5.75" customHeight="1" s="86">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5.75" customHeight="1" s="86">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5.75" customHeight="1" s="86">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5.75" customHeight="1" s="86">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5.75" customHeight="1" s="86">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5.75" customHeight="1" s="86">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5.75" customHeight="1" s="86">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5.75" customHeight="1" s="86">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5.75" customHeight="1" s="86">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5.75" customHeight="1" s="86">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5.75" customHeight="1" s="86">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5.75" customHeight="1" s="86">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5.75" customHeight="1" s="86">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5.75" customHeight="1" s="86">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5.75" customHeight="1" s="86">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5.75" customHeight="1" s="86">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5.75" customHeight="1" s="86">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5.75" customHeight="1" s="86">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5.75" customHeight="1" s="86">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5.75" customHeight="1" s="86">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5.75" customHeight="1" s="86">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5.75" customHeight="1" s="86">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5.75" customHeight="1" s="86">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5.75" customHeight="1" s="86">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5.75" customHeight="1" s="86">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5.75" customHeight="1" s="86">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5.75" customHeight="1" s="86">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5.75" customHeight="1" s="86">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5.75" customHeight="1" s="86">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5.75" customHeight="1" s="86">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5.75" customHeight="1" s="86">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5.75" customHeight="1" s="86">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5.75" customHeight="1" s="86">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5.75" customHeight="1" s="86">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5.75" customHeight="1" s="86">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5.75" customHeight="1" s="86">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5.75" customHeight="1" s="86">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5.75" customHeight="1" s="86">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5.75" customHeight="1" s="86">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5.75" customHeight="1" s="86">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5.75" customHeight="1" s="86">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5.75" customHeight="1" s="86">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5.75" customHeight="1" s="86">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5.75" customHeight="1" s="86">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5.75" customHeight="1" s="86">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5.75" customHeight="1" s="86">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5.75" customHeight="1" s="86">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5.75" customHeight="1" s="86">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5.75" customHeight="1" s="86">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5.75" customHeight="1" s="86">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5.75" customHeight="1" s="86">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5.75" customHeight="1" s="86">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5.75" customHeight="1" s="86">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5.75" customHeight="1" s="86">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5.75" customHeight="1" s="86">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5.75" customHeight="1" s="86">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5.75" customHeight="1" s="86">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5.75" customHeight="1" s="86">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5.75" customHeight="1" s="86">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5.75" customHeight="1" s="86">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5.75" customHeight="1" s="86">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5.75" customHeight="1" s="86">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5.75" customHeight="1" s="86">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5.75" customHeight="1" s="86">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5.75" customHeight="1" s="86">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5.75" customHeight="1" s="86">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5.75" customHeight="1" s="86">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5.75" customHeight="1" s="86">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5.75" customHeight="1" s="86">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5.75" customHeight="1" s="86">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5.75" customHeight="1" s="86">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5.75" customHeight="1" s="86">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5.75" customHeight="1" s="86">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5.75" customHeight="1" s="86">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5.75" customHeight="1" s="86">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5.75" customHeight="1" s="86">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5.75" customHeight="1" s="86">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5.75" customHeight="1" s="86">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5.75" customHeight="1" s="86">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5.75" customHeight="1" s="86">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5.75" customHeight="1" s="86">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5.75" customHeight="1" s="86">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5.75" customHeight="1" s="86">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5.75" customHeight="1" s="86">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5.75" customHeight="1" s="86">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5.75" customHeight="1" s="86">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5.75" customHeight="1" s="86">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5.75" customHeight="1" s="86">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5.75" customHeight="1" s="86">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5.75" customHeight="1" s="86">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5.75" customHeight="1" s="86">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5.75" customHeight="1" s="86">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5.75" customHeight="1" s="86">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5.75" customHeight="1" s="86">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5.75" customHeight="1" s="86">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5.75" customHeight="1" s="86">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5.75" customHeight="1" s="86">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5.75" customHeight="1" s="86">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5.75" customHeight="1" s="86">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5.75" customHeight="1" s="86">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5.75" customHeight="1" s="86">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5.75" customHeight="1" s="86">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5.75" customHeight="1" s="86">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5.75" customHeight="1" s="86">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5.75" customHeight="1" s="86">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5.75" customHeight="1" s="86">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5.75" customHeight="1" s="86">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5.75" customHeight="1" s="86">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5.75" customHeight="1" s="86">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5.75" customHeight="1" s="86">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5.75" customHeight="1" s="86">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5.75" customHeight="1" s="86">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5.75" customHeight="1" s="86">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5.75" customHeight="1" s="86">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5.75" customHeight="1" s="86">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5.75" customHeight="1" s="86">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5.75" customHeight="1" s="86">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5.75" customHeight="1" s="86">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5.75" customHeight="1" s="86">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5.75" customHeight="1" s="86">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5.75" customHeight="1" s="86">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5.75" customHeight="1" s="86">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5.75" customHeight="1" s="86">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5.75" customHeight="1" s="86">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5.75" customHeight="1" s="86">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5.75" customHeight="1" s="86">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5.75" customHeight="1" s="86">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5.75" customHeight="1" s="86">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5.75" customHeight="1" s="86">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5.75" customHeight="1" s="86">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5.75" customHeight="1" s="86">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5.75" customHeight="1" s="86">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5.75" customHeight="1" s="86">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5.75" customHeight="1" s="86">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5.75" customHeight="1" s="86">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5.75" customHeight="1" s="86">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5.75" customHeight="1" s="86">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5.75" customHeight="1" s="86">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5.75" customHeight="1" s="86">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5.75" customHeight="1" s="86">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5.75" customHeight="1" s="86">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5.75" customHeight="1" s="86">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5.75" customHeight="1" s="86">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5.75" customHeight="1" s="86">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5.75" customHeight="1" s="86">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5.75" customHeight="1" s="86">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5.75" customHeight="1" s="86">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5.75" customHeight="1" s="86">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5.75" customHeight="1" s="86">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5.75" customHeight="1" s="86">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5.75" customHeight="1" s="86">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5.75" customHeight="1" s="86">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5.75" customHeight="1" s="86">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5.75" customHeight="1" s="86">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5.75" customHeight="1" s="86">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5.75" customHeight="1" s="86">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5.75" customHeight="1" s="86">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5.75" customHeight="1" s="86">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5.75" customHeight="1" s="86">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5.75" customHeight="1" s="86">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5.75" customHeight="1" s="86">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5.75" customHeight="1" s="86">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5.75" customHeight="1" s="86">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5.75" customHeight="1" s="86">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5.75" customHeight="1" s="86">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5.75" customHeight="1" s="86">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5.75" customHeight="1" s="86">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5.75" customHeight="1" s="86">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5.75" customHeight="1" s="86">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5.75" customHeight="1" s="86">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5.75" customHeight="1" s="86">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5.75" customHeight="1" s="86">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5.75" customHeight="1" s="86">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5.75" customHeight="1" s="86">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5.75" customHeight="1" s="86">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5.75" customHeight="1" s="86">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5.75" customHeight="1" s="86">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5.75" customHeight="1" s="86">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5.75" customHeight="1" s="86">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5.75" customHeight="1" s="86">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5.75" customHeight="1" s="86">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5.75" customHeight="1" s="86">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5.75" customHeight="1" s="86">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5.75" customHeight="1" s="86">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5.75" customHeight="1" s="86">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5.75" customHeight="1" s="86">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5.75" customHeight="1" s="86">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5.75" customHeight="1" s="86">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5.75" customHeight="1" s="86">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5.75" customHeight="1" s="86">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5.75" customHeight="1" s="86">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5.75" customHeight="1" s="86">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5.75" customHeight="1" s="86">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5.75" customHeight="1" s="86">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5.75" customHeight="1" s="86">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5.75" customHeight="1" s="86">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5.75" customHeight="1" s="86">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5.75" customHeight="1" s="86">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5.75" customHeight="1" s="86">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5.75" customHeight="1" s="86">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5.75" customHeight="1" s="86">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5.75" customHeight="1" s="86">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5.75" customHeight="1" s="86">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5.75" customHeight="1" s="86">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5.75" customHeight="1" s="86">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5.75" customHeight="1" s="86">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5.75" customHeight="1" s="86">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5.75" customHeight="1" s="86">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5.75" customHeight="1" s="86">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5.75" customHeight="1" s="86">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5.75" customHeight="1" s="86">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5.75" customHeight="1" s="86">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5.75" customHeight="1" s="86">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5.75" customHeight="1" s="86">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mergeCells count="1">
    <mergeCell ref="A71:C7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Suresh Bisht</dc:creator>
  <dcterms:created xmlns:dcterms="http://purl.org/dc/terms/" xmlns:xsi="http://www.w3.org/2001/XMLSchema-instance" xsi:type="dcterms:W3CDTF">2015-02-27T11:15:04Z</dcterms:created>
  <dcterms:modified xmlns:dcterms="http://purl.org/dc/terms/" xmlns:xsi="http://www.w3.org/2001/XMLSchema-instance" xsi:type="dcterms:W3CDTF">2026-02-22T06:05:04Z</dcterms:modified>
</cp:coreProperties>
</file>